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ytiniotis\Documents\All project files\1908428.000 - Mondrift\Gitlab\mondep\Casanova\testing folder\Test DSD Statistics\"/>
    </mc:Choice>
  </mc:AlternateContent>
  <xr:revisionPtr revIDLastSave="0" documentId="8_{50D6FB69-5281-4B86-B5D4-2FE8BC51C3D8}" xr6:coauthVersionLast="45" xr6:coauthVersionMax="45" xr10:uidLastSave="{00000000-0000-0000-0000-000000000000}"/>
  <bookViews>
    <workbookView xWindow="-28920" yWindow="-120" windowWidth="29040" windowHeight="15840" xr2:uid="{C3C21DD6-5EA2-4D53-83F7-1CF4E0482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" i="1" l="1" a="1"/>
  <c r="O12" i="1" s="1"/>
  <c r="L36" i="1"/>
  <c r="O9" i="1" l="1"/>
  <c r="K36" i="1"/>
  <c r="L35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3" i="1"/>
  <c r="O8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35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U32" i="1"/>
  <c r="U28" i="1"/>
  <c r="U24" i="1"/>
  <c r="U20" i="1"/>
  <c r="U16" i="1"/>
  <c r="U12" i="1"/>
  <c r="U8" i="1"/>
  <c r="U4" i="1"/>
  <c r="X22" i="1"/>
  <c r="X15" i="1"/>
  <c r="T33" i="1"/>
  <c r="T32" i="1"/>
  <c r="U31" i="1" s="1"/>
  <c r="T31" i="1"/>
  <c r="U30" i="1" s="1"/>
  <c r="T30" i="1"/>
  <c r="U29" i="1" s="1"/>
  <c r="T29" i="1"/>
  <c r="T28" i="1"/>
  <c r="U27" i="1" s="1"/>
  <c r="T27" i="1"/>
  <c r="U26" i="1" s="1"/>
  <c r="T26" i="1"/>
  <c r="U25" i="1" s="1"/>
  <c r="T25" i="1"/>
  <c r="T24" i="1"/>
  <c r="U23" i="1" s="1"/>
  <c r="T23" i="1"/>
  <c r="U22" i="1" s="1"/>
  <c r="T22" i="1"/>
  <c r="U21" i="1" s="1"/>
  <c r="T21" i="1"/>
  <c r="T20" i="1"/>
  <c r="U19" i="1" s="1"/>
  <c r="T19" i="1"/>
  <c r="U18" i="1" s="1"/>
  <c r="T18" i="1"/>
  <c r="Y20" i="1" s="1"/>
  <c r="T17" i="1"/>
  <c r="T16" i="1"/>
  <c r="U15" i="1" s="1"/>
  <c r="T15" i="1"/>
  <c r="U14" i="1" s="1"/>
  <c r="T14" i="1"/>
  <c r="U13" i="1" s="1"/>
  <c r="T13" i="1"/>
  <c r="T12" i="1"/>
  <c r="U11" i="1" s="1"/>
  <c r="T11" i="1"/>
  <c r="U10" i="1" s="1"/>
  <c r="T10" i="1"/>
  <c r="U9" i="1" s="1"/>
  <c r="T9" i="1"/>
  <c r="T8" i="1"/>
  <c r="U7" i="1" s="1"/>
  <c r="T7" i="1"/>
  <c r="U6" i="1" s="1"/>
  <c r="T6" i="1"/>
  <c r="U5" i="1" s="1"/>
  <c r="T5" i="1"/>
  <c r="T4" i="1"/>
  <c r="U3" i="1" s="1"/>
  <c r="T3" i="1"/>
  <c r="R30" i="1"/>
  <c r="S29" i="1" s="1"/>
  <c r="R26" i="1"/>
  <c r="S25" i="1" s="1"/>
  <c r="R22" i="1"/>
  <c r="S21" i="1" s="1"/>
  <c r="R18" i="1"/>
  <c r="X18" i="1" s="1"/>
  <c r="R14" i="1"/>
  <c r="S13" i="1" s="1"/>
  <c r="R10" i="1"/>
  <c r="S9" i="1" s="1"/>
  <c r="R6" i="1"/>
  <c r="S5" i="1" s="1"/>
  <c r="F3" i="1"/>
  <c r="R33" i="1"/>
  <c r="S32" i="1" s="1"/>
  <c r="R32" i="1"/>
  <c r="S31" i="1" s="1"/>
  <c r="R31" i="1"/>
  <c r="S30" i="1" s="1"/>
  <c r="R29" i="1"/>
  <c r="S28" i="1" s="1"/>
  <c r="R28" i="1"/>
  <c r="S27" i="1" s="1"/>
  <c r="R27" i="1"/>
  <c r="S26" i="1" s="1"/>
  <c r="R25" i="1"/>
  <c r="S24" i="1" s="1"/>
  <c r="R24" i="1"/>
  <c r="S23" i="1" s="1"/>
  <c r="R23" i="1"/>
  <c r="S22" i="1" s="1"/>
  <c r="R21" i="1"/>
  <c r="S20" i="1" s="1"/>
  <c r="R20" i="1"/>
  <c r="S19" i="1" s="1"/>
  <c r="R19" i="1"/>
  <c r="S18" i="1" s="1"/>
  <c r="R17" i="1"/>
  <c r="S16" i="1" s="1"/>
  <c r="R16" i="1"/>
  <c r="X16" i="1" s="1"/>
  <c r="R15" i="1"/>
  <c r="S14" i="1" s="1"/>
  <c r="R13" i="1"/>
  <c r="S12" i="1" s="1"/>
  <c r="R12" i="1"/>
  <c r="S11" i="1" s="1"/>
  <c r="R11" i="1"/>
  <c r="S10" i="1" s="1"/>
  <c r="R9" i="1"/>
  <c r="S8" i="1" s="1"/>
  <c r="R8" i="1"/>
  <c r="S7" i="1" s="1"/>
  <c r="R7" i="1"/>
  <c r="S6" i="1" s="1"/>
  <c r="R5" i="1"/>
  <c r="S4" i="1" s="1"/>
  <c r="R4" i="1"/>
  <c r="S3" i="1" s="1"/>
  <c r="R3" i="1"/>
  <c r="X3" i="1" s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8" i="1"/>
  <c r="F5" i="1"/>
  <c r="F4" i="1"/>
  <c r="F9" i="1"/>
  <c r="C35" i="1"/>
  <c r="X14" i="1" l="1"/>
  <c r="X20" i="1"/>
  <c r="Z20" i="1" s="1"/>
  <c r="AA20" i="1" s="1"/>
  <c r="Y25" i="1"/>
  <c r="Z25" i="1" s="1"/>
  <c r="X4" i="1"/>
  <c r="X30" i="1"/>
  <c r="U17" i="1"/>
  <c r="Y21" i="1"/>
  <c r="Z21" i="1" s="1"/>
  <c r="Y26" i="1"/>
  <c r="X6" i="1"/>
  <c r="X19" i="1"/>
  <c r="X31" i="1"/>
  <c r="X10" i="1"/>
  <c r="X7" i="1"/>
  <c r="X11" i="1"/>
  <c r="X23" i="1"/>
  <c r="X27" i="1"/>
  <c r="X8" i="1"/>
  <c r="X12" i="1"/>
  <c r="X24" i="1"/>
  <c r="X28" i="1"/>
  <c r="X32" i="1"/>
  <c r="X26" i="1"/>
  <c r="X5" i="1"/>
  <c r="X9" i="1"/>
  <c r="X13" i="1"/>
  <c r="X17" i="1"/>
  <c r="X21" i="1"/>
  <c r="X25" i="1"/>
  <c r="X29" i="1"/>
  <c r="X33" i="1"/>
  <c r="S17" i="1"/>
  <c r="Y5" i="1"/>
  <c r="Z5" i="1" s="1"/>
  <c r="F7" i="1"/>
  <c r="F6" i="1"/>
  <c r="Y10" i="1"/>
  <c r="Z10" i="1" s="1"/>
  <c r="Y6" i="1"/>
  <c r="Z6" i="1" s="1"/>
  <c r="S15" i="1"/>
  <c r="Y11" i="1" s="1"/>
  <c r="Z11" i="1" s="1"/>
  <c r="O6" i="1" a="1"/>
  <c r="O6" i="1" s="1"/>
  <c r="O11" i="1" s="1"/>
  <c r="O5" i="1" a="1"/>
  <c r="O5" i="1" s="1"/>
  <c r="O4" i="1" a="1"/>
  <c r="O4" i="1" s="1"/>
  <c r="K35" i="1" l="1"/>
  <c r="Z26" i="1"/>
  <c r="AA25" i="1" s="1"/>
  <c r="AA10" i="1"/>
  <c r="O14" i="1" s="1"/>
  <c r="AA5" i="1"/>
  <c r="O13" i="1" s="1"/>
  <c r="F35" i="1"/>
  <c r="G16" i="1" s="1"/>
  <c r="G3" i="1"/>
  <c r="G5" i="1"/>
  <c r="G8" i="1" l="1"/>
  <c r="G27" i="1"/>
  <c r="G23" i="1"/>
  <c r="G12" i="1"/>
  <c r="G7" i="1"/>
  <c r="G18" i="1"/>
  <c r="G14" i="1"/>
  <c r="G4" i="1"/>
  <c r="H4" i="1" s="1"/>
  <c r="G29" i="1"/>
  <c r="G11" i="1"/>
  <c r="G22" i="1"/>
  <c r="G31" i="1"/>
  <c r="G25" i="1"/>
  <c r="G6" i="1"/>
  <c r="G26" i="1"/>
  <c r="G19" i="1"/>
  <c r="G13" i="1"/>
  <c r="G10" i="1"/>
  <c r="G33" i="1"/>
  <c r="G15" i="1"/>
  <c r="G32" i="1"/>
  <c r="G17" i="1"/>
  <c r="G21" i="1"/>
  <c r="G9" i="1"/>
  <c r="G20" i="1"/>
  <c r="G28" i="1"/>
  <c r="G24" i="1"/>
  <c r="G30" i="1"/>
  <c r="H3" i="1"/>
  <c r="V3" i="1" s="1"/>
  <c r="H5" i="1" l="1"/>
  <c r="V4" i="1"/>
  <c r="W3" i="1" s="1"/>
  <c r="G35" i="1"/>
  <c r="H6" i="1" l="1"/>
  <c r="V5" i="1"/>
  <c r="W4" i="1" s="1"/>
  <c r="H7" i="1" l="1"/>
  <c r="V6" i="1"/>
  <c r="W5" i="1" s="1"/>
  <c r="H8" i="1" l="1"/>
  <c r="V7" i="1"/>
  <c r="W6" i="1" s="1"/>
  <c r="H9" i="1" l="1"/>
  <c r="V8" i="1"/>
  <c r="W7" i="1" s="1"/>
  <c r="H10" i="1" l="1"/>
  <c r="V9" i="1"/>
  <c r="W8" i="1" s="1"/>
  <c r="H11" i="1" l="1"/>
  <c r="V10" i="1"/>
  <c r="W9" i="1" s="1"/>
  <c r="H12" i="1" l="1"/>
  <c r="V11" i="1"/>
  <c r="W10" i="1" s="1"/>
  <c r="H13" i="1" l="1"/>
  <c r="V12" i="1"/>
  <c r="W11" i="1" s="1"/>
  <c r="V13" i="1" l="1"/>
  <c r="W12" i="1" s="1"/>
  <c r="H14" i="1"/>
  <c r="H15" i="1" l="1"/>
  <c r="V14" i="1"/>
  <c r="W13" i="1" s="1"/>
  <c r="H16" i="1" l="1"/>
  <c r="V15" i="1"/>
  <c r="W14" i="1" s="1"/>
  <c r="H17" i="1" l="1"/>
  <c r="V16" i="1"/>
  <c r="W15" i="1" s="1"/>
  <c r="H18" i="1" l="1"/>
  <c r="V17" i="1"/>
  <c r="W16" i="1" s="1"/>
  <c r="H19" i="1" l="1"/>
  <c r="V18" i="1"/>
  <c r="Y16" i="1" l="1"/>
  <c r="Z16" i="1" s="1"/>
  <c r="W17" i="1"/>
  <c r="Y15" i="1"/>
  <c r="Z15" i="1" s="1"/>
  <c r="H20" i="1"/>
  <c r="V19" i="1"/>
  <c r="W18" i="1" s="1"/>
  <c r="AA15" i="1" l="1"/>
  <c r="O7" i="1" s="1"/>
  <c r="O10" i="1" s="1"/>
  <c r="H21" i="1"/>
  <c r="V20" i="1"/>
  <c r="W19" i="1" s="1"/>
  <c r="H22" i="1" l="1"/>
  <c r="V21" i="1"/>
  <c r="W20" i="1" s="1"/>
  <c r="H23" i="1" l="1"/>
  <c r="V22" i="1"/>
  <c r="W21" i="1" s="1"/>
  <c r="H24" i="1" l="1"/>
  <c r="V23" i="1"/>
  <c r="W22" i="1" s="1"/>
  <c r="H25" i="1" l="1"/>
  <c r="V24" i="1"/>
  <c r="W23" i="1" s="1"/>
  <c r="H26" i="1" l="1"/>
  <c r="V25" i="1"/>
  <c r="W24" i="1" s="1"/>
  <c r="H27" i="1" l="1"/>
  <c r="V26" i="1"/>
  <c r="W25" i="1" s="1"/>
  <c r="H28" i="1" l="1"/>
  <c r="V27" i="1"/>
  <c r="W26" i="1" s="1"/>
  <c r="H29" i="1" l="1"/>
  <c r="V28" i="1"/>
  <c r="W27" i="1" s="1"/>
  <c r="H30" i="1" l="1"/>
  <c r="V29" i="1"/>
  <c r="W28" i="1" s="1"/>
  <c r="H31" i="1" l="1"/>
  <c r="V30" i="1"/>
  <c r="W29" i="1" s="1"/>
  <c r="H32" i="1" l="1"/>
  <c r="V31" i="1"/>
  <c r="W30" i="1" s="1"/>
  <c r="H33" i="1" l="1"/>
  <c r="V33" i="1" s="1"/>
  <c r="W32" i="1" s="1"/>
  <c r="V32" i="1"/>
  <c r="W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tc={7170A38C-EC43-460C-B716-85D8FDD7D564}</author>
  </authors>
  <commentList>
    <comment ref="O12" authorId="0" shapeId="0" xr:uid="{7170A38C-EC43-460C-B716-85D8FDD7D5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edited from original equation provided by Bayer to correct error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<sst xmlns="http://schemas.openxmlformats.org/spreadsheetml/2006/main" count="59" uniqueCount="44">
  <si>
    <t>Diameter (um)</t>
  </si>
  <si>
    <t>Cumulative Volume (%)</t>
  </si>
  <si>
    <t>Incremental Volume (%)</t>
  </si>
  <si>
    <t>Statistic</t>
  </si>
  <si>
    <t>Value</t>
  </si>
  <si>
    <t>% Fines (&lt;141 um)</t>
  </si>
  <si>
    <t>um</t>
  </si>
  <si>
    <t>%</t>
  </si>
  <si>
    <t>Incremental Number</t>
  </si>
  <si>
    <t>Incremental Number (%)</t>
  </si>
  <si>
    <t>%Fines &lt;100 um</t>
  </si>
  <si>
    <t>%Fines &lt;150 um</t>
  </si>
  <si>
    <t>Diam</t>
  </si>
  <si>
    <t>Vol</t>
  </si>
  <si>
    <t>%Vol&lt;100</t>
  </si>
  <si>
    <t>%Vol&lt;150</t>
  </si>
  <si>
    <t>Diam offset+</t>
  </si>
  <si>
    <t>For %Vol&lt;:</t>
  </si>
  <si>
    <t>Interpolation</t>
  </si>
  <si>
    <t>DV90:</t>
  </si>
  <si>
    <t>DV50 or VMD:</t>
  </si>
  <si>
    <t>DV10:</t>
  </si>
  <si>
    <t>VMD:NMD ratio</t>
  </si>
  <si>
    <t>NMD</t>
  </si>
  <si>
    <t>Cumulative Number%</t>
  </si>
  <si>
    <t>For NMD:</t>
  </si>
  <si>
    <t>CumNum% Offset+</t>
  </si>
  <si>
    <t>For VMD:</t>
  </si>
  <si>
    <t>Cum Vol (%) Offset+</t>
  </si>
  <si>
    <t>For D32:</t>
  </si>
  <si>
    <t>Vol. mean diam (D30)</t>
  </si>
  <si>
    <t>Sauter mean (D32)</t>
  </si>
  <si>
    <t>Data</t>
  </si>
  <si>
    <r>
      <t>Ind. Drop Vol m</t>
    </r>
    <r>
      <rPr>
        <vertAlign val="superscript"/>
        <sz val="11"/>
        <color theme="1"/>
        <rFont val="Calibri"/>
        <family val="2"/>
        <scheme val="minor"/>
      </rPr>
      <t>3</t>
    </r>
  </si>
  <si>
    <t>Number of droplets</t>
  </si>
  <si>
    <t>For US-EPA</t>
  </si>
  <si>
    <t>Relative Span:</t>
  </si>
  <si>
    <t>For Volume mean diam.</t>
  </si>
  <si>
    <t>For Sauter mean diam.</t>
  </si>
  <si>
    <t>EXAMPLE DROP SPECTRA STATISTICS DERIVED FROM DATA</t>
  </si>
  <si>
    <t>Statistics:</t>
  </si>
  <si>
    <t>Calculations</t>
  </si>
  <si>
    <t>Interpolations</t>
  </si>
  <si>
    <t>For mathematical aproaches, ee: "Atomization and Sprays" Lefebvre and McDonell, 2017 (CRC Press 2nd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</si>
</sst>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left" wrapText="1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 applyAlignment="1">
      <alignment horizontal="left"/>
    </xf>
    <xf numFmtId="164" fontId="0" fillId="2" borderId="0" xfId="0" applyNumberFormat="1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3" fillId="0" borderId="0" xfId="0" applyFont="1"/>
    <xf numFmtId="11" fontId="0" fillId="2" borderId="0" xfId="0" applyNumberFormat="1" applyFill="1" applyAlignment="1">
      <alignment horizontal="left"/>
    </xf>
    <xf numFmtId="0" fontId="0" fillId="4" borderId="1" xfId="0" applyFill="1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164" fontId="0" fillId="4" borderId="0" xfId="0" applyNumberFormat="1" applyFill="1" applyBorder="1" applyAlignment="1">
      <alignment horizontal="right"/>
    </xf>
    <xf numFmtId="0" fontId="0" fillId="4" borderId="5" xfId="0" applyFill="1" applyBorder="1"/>
    <xf numFmtId="164" fontId="0" fillId="4" borderId="0" xfId="0" applyNumberFormat="1" applyFill="1" applyBorder="1"/>
    <xf numFmtId="2" fontId="0" fillId="4" borderId="0" xfId="0" applyNumberFormat="1" applyFill="1" applyBorder="1"/>
    <xf numFmtId="2" fontId="0" fillId="4" borderId="0" xfId="0" applyNumberFormat="1" applyFill="1" applyBorder="1" applyAlignment="1">
      <alignment horizontal="right"/>
    </xf>
    <xf numFmtId="0" fontId="0" fillId="4" borderId="5" xfId="0" quotePrefix="1" applyFill="1" applyBorder="1"/>
    <xf numFmtId="0" fontId="0" fillId="4" borderId="6" xfId="0" applyFill="1" applyBorder="1"/>
    <xf numFmtId="2" fontId="0" fillId="4" borderId="7" xfId="0" applyNumberFormat="1" applyFill="1" applyBorder="1" applyAlignment="1">
      <alignment horizontal="right"/>
    </xf>
    <xf numFmtId="0" fontId="0" fillId="4" borderId="8" xfId="0" quotePrefix="1" applyFill="1" applyBorder="1"/>
    <xf numFmtId="0" fontId="1" fillId="4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 Size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017111303813438E-2"/>
          <c:y val="0.12285296916653315"/>
          <c:w val="0.88955870891651323"/>
          <c:h val="0.72291937317702648"/>
        </c:manualLayout>
      </c:layout>
      <c:lineChart>
        <c:grouping val="standard"/>
        <c:varyColors val="0"/>
        <c:ser>
          <c:idx val="2"/>
          <c:order val="1"/>
          <c:tx>
            <c:strRef>
              <c:f>Sheet1!$E$2</c:f>
              <c:strCache>
                <c:ptCount val="1"/>
                <c:pt idx="0">
                  <c:v>Cumulative Volume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Sheet1!$B$3:$B$33</c:f>
              <c:numCache>
                <c:formatCode>General</c:formatCode>
                <c:ptCount val="31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34</c:v>
                </c:pt>
                <c:pt idx="5">
                  <c:v>42</c:v>
                </c:pt>
                <c:pt idx="6">
                  <c:v>50</c:v>
                </c:pt>
                <c:pt idx="7">
                  <c:v>60</c:v>
                </c:pt>
                <c:pt idx="8">
                  <c:v>72</c:v>
                </c:pt>
                <c:pt idx="9">
                  <c:v>84</c:v>
                </c:pt>
                <c:pt idx="10">
                  <c:v>98</c:v>
                </c:pt>
                <c:pt idx="11">
                  <c:v>118</c:v>
                </c:pt>
                <c:pt idx="12">
                  <c:v>148</c:v>
                </c:pt>
                <c:pt idx="13">
                  <c:v>178</c:v>
                </c:pt>
                <c:pt idx="14">
                  <c:v>208</c:v>
                </c:pt>
                <c:pt idx="15">
                  <c:v>248</c:v>
                </c:pt>
                <c:pt idx="16">
                  <c:v>298</c:v>
                </c:pt>
                <c:pt idx="17">
                  <c:v>358</c:v>
                </c:pt>
                <c:pt idx="18">
                  <c:v>408</c:v>
                </c:pt>
                <c:pt idx="19">
                  <c:v>498</c:v>
                </c:pt>
                <c:pt idx="20">
                  <c:v>598</c:v>
                </c:pt>
                <c:pt idx="21">
                  <c:v>718</c:v>
                </c:pt>
                <c:pt idx="22">
                  <c:v>858</c:v>
                </c:pt>
                <c:pt idx="23">
                  <c:v>1018</c:v>
                </c:pt>
                <c:pt idx="24">
                  <c:v>1218</c:v>
                </c:pt>
                <c:pt idx="25">
                  <c:v>1458</c:v>
                </c:pt>
                <c:pt idx="26">
                  <c:v>1738</c:v>
                </c:pt>
                <c:pt idx="27">
                  <c:v>2058</c:v>
                </c:pt>
                <c:pt idx="28">
                  <c:v>2458</c:v>
                </c:pt>
                <c:pt idx="29">
                  <c:v>2938</c:v>
                </c:pt>
                <c:pt idx="30">
                  <c:v>3498</c:v>
                </c:pt>
              </c:numCache>
            </c:numRef>
          </c:cat>
          <c:val>
            <c:numRef>
              <c:f>Sheet1!$E$3:$E$33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0.08</c:v>
                </c:pt>
                <c:pt idx="7">
                  <c:v>0.24</c:v>
                </c:pt>
                <c:pt idx="8">
                  <c:v>0.48</c:v>
                </c:pt>
                <c:pt idx="9">
                  <c:v>0.8</c:v>
                </c:pt>
                <c:pt idx="10">
                  <c:v>1.31</c:v>
                </c:pt>
                <c:pt idx="11">
                  <c:v>2.2999999999999998</c:v>
                </c:pt>
                <c:pt idx="12">
                  <c:v>4.5199999999999996</c:v>
                </c:pt>
                <c:pt idx="13">
                  <c:v>7.71</c:v>
                </c:pt>
                <c:pt idx="14">
                  <c:v>11.83</c:v>
                </c:pt>
                <c:pt idx="15">
                  <c:v>18.63</c:v>
                </c:pt>
                <c:pt idx="16">
                  <c:v>28.87</c:v>
                </c:pt>
                <c:pt idx="17">
                  <c:v>42.56</c:v>
                </c:pt>
                <c:pt idx="18">
                  <c:v>56.3</c:v>
                </c:pt>
                <c:pt idx="19">
                  <c:v>72.680000000000007</c:v>
                </c:pt>
                <c:pt idx="20">
                  <c:v>87.25</c:v>
                </c:pt>
                <c:pt idx="21">
                  <c:v>96.25</c:v>
                </c:pt>
                <c:pt idx="22">
                  <c:v>99.87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8E-430E-A6F2-CBCCAD16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25672"/>
        <c:axId val="853326000"/>
      </c:lineChart>
      <c:lineChart>
        <c:grouping val="standard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Incremental Volume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Sheet1!$B$3:$B$33</c:f>
              <c:numCache>
                <c:formatCode>General</c:formatCode>
                <c:ptCount val="31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34</c:v>
                </c:pt>
                <c:pt idx="5">
                  <c:v>42</c:v>
                </c:pt>
                <c:pt idx="6">
                  <c:v>50</c:v>
                </c:pt>
                <c:pt idx="7">
                  <c:v>60</c:v>
                </c:pt>
                <c:pt idx="8">
                  <c:v>72</c:v>
                </c:pt>
                <c:pt idx="9">
                  <c:v>84</c:v>
                </c:pt>
                <c:pt idx="10">
                  <c:v>98</c:v>
                </c:pt>
                <c:pt idx="11">
                  <c:v>118</c:v>
                </c:pt>
                <c:pt idx="12">
                  <c:v>148</c:v>
                </c:pt>
                <c:pt idx="13">
                  <c:v>178</c:v>
                </c:pt>
                <c:pt idx="14">
                  <c:v>208</c:v>
                </c:pt>
                <c:pt idx="15">
                  <c:v>248</c:v>
                </c:pt>
                <c:pt idx="16">
                  <c:v>298</c:v>
                </c:pt>
                <c:pt idx="17">
                  <c:v>358</c:v>
                </c:pt>
                <c:pt idx="18">
                  <c:v>408</c:v>
                </c:pt>
                <c:pt idx="19">
                  <c:v>498</c:v>
                </c:pt>
                <c:pt idx="20">
                  <c:v>598</c:v>
                </c:pt>
                <c:pt idx="21">
                  <c:v>718</c:v>
                </c:pt>
                <c:pt idx="22">
                  <c:v>858</c:v>
                </c:pt>
                <c:pt idx="23">
                  <c:v>1018</c:v>
                </c:pt>
                <c:pt idx="24">
                  <c:v>1218</c:v>
                </c:pt>
                <c:pt idx="25">
                  <c:v>1458</c:v>
                </c:pt>
                <c:pt idx="26">
                  <c:v>1738</c:v>
                </c:pt>
                <c:pt idx="27">
                  <c:v>2058</c:v>
                </c:pt>
                <c:pt idx="28">
                  <c:v>2458</c:v>
                </c:pt>
                <c:pt idx="29">
                  <c:v>2938</c:v>
                </c:pt>
                <c:pt idx="30">
                  <c:v>3498</c:v>
                </c:pt>
              </c:numCache>
            </c:numRef>
          </c:cat>
          <c:val>
            <c:numRef>
              <c:f>Sheet1!$C$3:$C$33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0.08</c:v>
                </c:pt>
                <c:pt idx="7">
                  <c:v>0.15999999999999998</c:v>
                </c:pt>
                <c:pt idx="8">
                  <c:v>0.24</c:v>
                </c:pt>
                <c:pt idx="9">
                  <c:v>0.32000000000000006</c:v>
                </c:pt>
                <c:pt idx="10">
                  <c:v>0.51</c:v>
                </c:pt>
                <c:pt idx="11">
                  <c:v>0.98999999999999977</c:v>
                </c:pt>
                <c:pt idx="12">
                  <c:v>2.2199999999999998</c:v>
                </c:pt>
                <c:pt idx="13">
                  <c:v>3.1900000000000004</c:v>
                </c:pt>
                <c:pt idx="14">
                  <c:v>4.12</c:v>
                </c:pt>
                <c:pt idx="15">
                  <c:v>6.7999999999999989</c:v>
                </c:pt>
                <c:pt idx="16">
                  <c:v>10.240000000000002</c:v>
                </c:pt>
                <c:pt idx="17">
                  <c:v>13.690000000000001</c:v>
                </c:pt>
                <c:pt idx="18">
                  <c:v>13.739999999999995</c:v>
                </c:pt>
                <c:pt idx="19">
                  <c:v>16.38000000000001</c:v>
                </c:pt>
                <c:pt idx="20">
                  <c:v>14.569999999999993</c:v>
                </c:pt>
                <c:pt idx="21">
                  <c:v>9</c:v>
                </c:pt>
                <c:pt idx="22">
                  <c:v>3.6200000000000045</c:v>
                </c:pt>
                <c:pt idx="23">
                  <c:v>0.12999999999999545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E-430E-A6F2-CBCCAD16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23048"/>
        <c:axId val="853320752"/>
      </c:lineChart>
      <c:catAx>
        <c:axId val="85332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26000"/>
        <c:crosses val="autoZero"/>
        <c:auto val="1"/>
        <c:lblAlgn val="ctr"/>
        <c:lblOffset val="100"/>
        <c:noMultiLvlLbl val="0"/>
      </c:catAx>
      <c:valAx>
        <c:axId val="8533260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25672"/>
        <c:crosses val="autoZero"/>
        <c:crossBetween val="between"/>
      </c:valAx>
      <c:valAx>
        <c:axId val="85332075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23048"/>
        <c:crosses val="max"/>
        <c:crossBetween val="between"/>
      </c:valAx>
      <c:catAx>
        <c:axId val="853323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332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211060395614"/>
          <c:y val="0.24959752220384107"/>
          <c:w val="0.27699771987321403"/>
          <c:h val="0.17428977629183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38</xdr:row>
      <xdr:rowOff>86677</xdr:rowOff>
    </xdr:from>
    <xdr:to>
      <xdr:col>13</xdr:col>
      <xdr:colOff>542924</xdr:colOff>
      <xdr:row>61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796A18-FF0A-4491-96FA-E8D1CEEA8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tonios Vytiniotis" id="{D40A3C09-B40E-466F-A03A-5633AF03A286}" userId="S::avytiniotis@exponent.com::b2b15643-43ea-4c8f-92e3-cb80f198d4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2" dT="2021-04-07T21:42:12.12" personId="{D40A3C09-B40E-466F-A03A-5633AF03A286}" id="{7170A38C-EC43-460C-B716-85D8FDD7D564}">
    <text>This was edited from original equation provided by Bayer to correct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4503-7C63-4302-8C39-7E74A3A22FE7}">
  <dimension ref="A1:AA36"/>
  <sheetViews>
    <sheetView tabSelected="1" topLeftCell="A2" workbookViewId="0">
      <selection activeCell="O12" sqref="O12"/>
    </sheetView>
  </sheetViews>
  <sheetFormatPr defaultRowHeight="15" x14ac:dyDescent="0.25"/>
  <cols>
    <col min="2" max="2" width="9.42578125" customWidth="1"/>
    <col min="3" max="4" width="13.7109375" customWidth="1"/>
    <col min="5" max="5" width="11.140625" customWidth="1"/>
    <col min="6" max="6" width="13" customWidth="1"/>
    <col min="7" max="7" width="14.28515625" customWidth="1"/>
    <col min="8" max="9" width="12.7109375" customWidth="1"/>
    <col min="10" max="13" width="13.28515625" customWidth="1"/>
    <col min="14" max="14" width="20.140625" customWidth="1"/>
    <col min="17" max="17" width="14.5703125" customWidth="1"/>
    <col min="20" max="22" width="11.140625" customWidth="1"/>
    <col min="23" max="23" width="11.85546875" customWidth="1"/>
    <col min="27" max="27" width="9.5703125" customWidth="1"/>
  </cols>
  <sheetData>
    <row r="1" spans="1:27" ht="28.5" x14ac:dyDescent="0.45">
      <c r="A1" s="19" t="s">
        <v>39</v>
      </c>
      <c r="J1" t="s">
        <v>43</v>
      </c>
    </row>
    <row r="2" spans="1:27" ht="45.75" thickBot="1" x14ac:dyDescent="0.3">
      <c r="A2" s="36" t="s">
        <v>32</v>
      </c>
      <c r="B2" s="16" t="s">
        <v>0</v>
      </c>
      <c r="C2" s="16" t="s">
        <v>2</v>
      </c>
      <c r="D2" s="35" t="s">
        <v>41</v>
      </c>
      <c r="E2" s="6" t="s">
        <v>1</v>
      </c>
      <c r="F2" s="6" t="s">
        <v>8</v>
      </c>
      <c r="G2" s="6" t="s">
        <v>9</v>
      </c>
      <c r="H2" s="6" t="s">
        <v>24</v>
      </c>
      <c r="I2" s="6" t="s">
        <v>33</v>
      </c>
      <c r="J2" s="6" t="s">
        <v>34</v>
      </c>
      <c r="K2" s="6" t="s">
        <v>37</v>
      </c>
      <c r="L2" s="6" t="s">
        <v>38</v>
      </c>
      <c r="N2" s="34" t="s">
        <v>40</v>
      </c>
      <c r="Q2" s="35" t="s">
        <v>42</v>
      </c>
      <c r="R2" s="6" t="s">
        <v>0</v>
      </c>
      <c r="S2" s="6" t="s">
        <v>16</v>
      </c>
      <c r="T2" s="7" t="s">
        <v>1</v>
      </c>
      <c r="U2" s="7" t="s">
        <v>28</v>
      </c>
      <c r="V2" s="6" t="s">
        <v>24</v>
      </c>
      <c r="W2" s="6" t="s">
        <v>26</v>
      </c>
      <c r="X2" s="6" t="s">
        <v>0</v>
      </c>
      <c r="Z2" s="5" t="s">
        <v>18</v>
      </c>
    </row>
    <row r="3" spans="1:27" ht="15.75" thickTop="1" x14ac:dyDescent="0.25">
      <c r="B3" s="17">
        <v>16</v>
      </c>
      <c r="C3" s="18">
        <v>0</v>
      </c>
      <c r="E3" s="9">
        <v>0</v>
      </c>
      <c r="F3" s="20">
        <f t="shared" ref="F3:F8" si="0">C3/(4/3*PI()*(B3/2*0.000001)^3)</f>
        <v>0</v>
      </c>
      <c r="G3" s="9">
        <f>F3/$F$35*100</f>
        <v>0</v>
      </c>
      <c r="H3" s="9">
        <f>G3</f>
        <v>0</v>
      </c>
      <c r="I3" s="20">
        <f>4/3*PI()*(B3/2*0.000001)^3</f>
        <v>2.1446605848506319E-15</v>
      </c>
      <c r="J3" s="20">
        <f>C3/I3</f>
        <v>0</v>
      </c>
      <c r="K3" s="20">
        <f>J3*$B3^3</f>
        <v>0</v>
      </c>
      <c r="L3" s="20">
        <f>J3*$B3^2</f>
        <v>0</v>
      </c>
      <c r="M3" s="3"/>
      <c r="N3" s="21" t="s">
        <v>3</v>
      </c>
      <c r="O3" s="22" t="s">
        <v>4</v>
      </c>
      <c r="P3" s="23"/>
      <c r="R3" s="8">
        <f t="shared" ref="R3:R33" si="1">B3</f>
        <v>16</v>
      </c>
      <c r="S3" s="8">
        <f t="shared" ref="S3:S32" si="2">R4</f>
        <v>20</v>
      </c>
      <c r="T3" s="9">
        <f t="shared" ref="T3:T33" si="3">E3</f>
        <v>0</v>
      </c>
      <c r="U3" s="9">
        <f>T4</f>
        <v>0</v>
      </c>
      <c r="V3" s="9">
        <f t="shared" ref="V3:V33" si="4">H3</f>
        <v>0</v>
      </c>
      <c r="W3" s="9">
        <f>V4</f>
        <v>0</v>
      </c>
      <c r="X3" s="8">
        <f t="shared" ref="X3:X33" si="5">R3</f>
        <v>16</v>
      </c>
      <c r="Y3" s="10" t="s">
        <v>17</v>
      </c>
      <c r="Z3" s="11">
        <v>100</v>
      </c>
      <c r="AA3" s="12"/>
    </row>
    <row r="4" spans="1:27" x14ac:dyDescent="0.25">
      <c r="B4" s="17">
        <v>20</v>
      </c>
      <c r="C4" s="18">
        <v>0</v>
      </c>
      <c r="E4" s="9">
        <v>0</v>
      </c>
      <c r="F4" s="20">
        <f t="shared" si="0"/>
        <v>0</v>
      </c>
      <c r="G4" s="9">
        <f t="shared" ref="G4:G33" si="6">F4/$F$35*100</f>
        <v>0</v>
      </c>
      <c r="H4" s="9">
        <f>G4+H3</f>
        <v>0</v>
      </c>
      <c r="I4" s="20">
        <f t="shared" ref="I4:I33" si="7">4/3*PI()*(B4/2*0.000001)^3</f>
        <v>4.188790204786389E-15</v>
      </c>
      <c r="J4" s="20">
        <f t="shared" ref="J4:J33" si="8">C4/I4</f>
        <v>0</v>
      </c>
      <c r="K4" s="20">
        <f t="shared" ref="K4:K33" si="9">J4*$B4^3</f>
        <v>0</v>
      </c>
      <c r="L4" s="20">
        <f t="shared" ref="L4:L33" si="10">J4*$B4^2</f>
        <v>0</v>
      </c>
      <c r="M4" s="4"/>
      <c r="N4" s="24" t="s">
        <v>21</v>
      </c>
      <c r="O4" s="25" cm="1">
        <f t="array" ref="O4">TREND(B16:B17,E16:E17,10)</f>
        <v>194.67475728155341</v>
      </c>
      <c r="P4" s="26" t="s">
        <v>6</v>
      </c>
      <c r="R4" s="8">
        <f t="shared" si="1"/>
        <v>20</v>
      </c>
      <c r="S4" s="8">
        <f t="shared" si="2"/>
        <v>24</v>
      </c>
      <c r="T4" s="9">
        <f t="shared" si="3"/>
        <v>0</v>
      </c>
      <c r="U4" s="9">
        <f t="shared" ref="U4:U32" si="11">T5</f>
        <v>0</v>
      </c>
      <c r="V4" s="9">
        <f t="shared" si="4"/>
        <v>0</v>
      </c>
      <c r="W4" s="9">
        <f t="shared" ref="W4:W32" si="12">V5</f>
        <v>0</v>
      </c>
      <c r="X4" s="8">
        <f t="shared" si="5"/>
        <v>20</v>
      </c>
      <c r="Y4" s="12"/>
      <c r="Z4" s="12"/>
      <c r="AA4" s="10" t="s">
        <v>14</v>
      </c>
    </row>
    <row r="5" spans="1:27" x14ac:dyDescent="0.25">
      <c r="B5" s="17">
        <v>24</v>
      </c>
      <c r="C5" s="18">
        <v>0</v>
      </c>
      <c r="E5" s="9">
        <v>0</v>
      </c>
      <c r="F5" s="20">
        <f t="shared" si="0"/>
        <v>0</v>
      </c>
      <c r="G5" s="9">
        <f t="shared" si="6"/>
        <v>0</v>
      </c>
      <c r="H5" s="9">
        <f t="shared" ref="H5:H33" si="13">G5+H4</f>
        <v>0</v>
      </c>
      <c r="I5" s="20">
        <f t="shared" si="7"/>
        <v>7.2382294738708846E-15</v>
      </c>
      <c r="J5" s="20">
        <f t="shared" si="8"/>
        <v>0</v>
      </c>
      <c r="K5" s="20">
        <f t="shared" si="9"/>
        <v>0</v>
      </c>
      <c r="L5" s="20">
        <f t="shared" si="10"/>
        <v>0</v>
      </c>
      <c r="M5" s="4"/>
      <c r="N5" s="24" t="s">
        <v>20</v>
      </c>
      <c r="O5" s="25" cm="1">
        <f t="array" ref="O5">TREND(B20:B21,E20:E21,50)</f>
        <v>385.0742358078603</v>
      </c>
      <c r="P5" s="26" t="s">
        <v>6</v>
      </c>
      <c r="R5" s="8">
        <f t="shared" si="1"/>
        <v>24</v>
      </c>
      <c r="S5" s="8">
        <f t="shared" si="2"/>
        <v>28</v>
      </c>
      <c r="T5" s="9">
        <f t="shared" si="3"/>
        <v>0</v>
      </c>
      <c r="U5" s="9">
        <f t="shared" si="11"/>
        <v>0</v>
      </c>
      <c r="V5" s="9">
        <f t="shared" si="4"/>
        <v>0</v>
      </c>
      <c r="W5" s="9">
        <f t="shared" si="12"/>
        <v>0</v>
      </c>
      <c r="X5" s="8">
        <f t="shared" si="5"/>
        <v>24</v>
      </c>
      <c r="Y5" s="8">
        <f>VLOOKUP($Z$3,$R$3:$R$33,1)</f>
        <v>98</v>
      </c>
      <c r="Z5" s="8">
        <f>VLOOKUP(Y5,R3:T33,3)</f>
        <v>1.31</v>
      </c>
      <c r="AA5" s="13">
        <f>Z5+(((Z6-Z5)/(Y6-Y5))*(Z3-Y5))</f>
        <v>1.409</v>
      </c>
    </row>
    <row r="6" spans="1:27" x14ac:dyDescent="0.25">
      <c r="B6" s="17">
        <v>28</v>
      </c>
      <c r="C6" s="18">
        <v>0</v>
      </c>
      <c r="E6" s="9">
        <v>0</v>
      </c>
      <c r="F6" s="20">
        <f t="shared" si="0"/>
        <v>0</v>
      </c>
      <c r="G6" s="9">
        <f t="shared" si="6"/>
        <v>0</v>
      </c>
      <c r="H6" s="9">
        <f t="shared" si="13"/>
        <v>0</v>
      </c>
      <c r="I6" s="20">
        <f t="shared" si="7"/>
        <v>1.1494040321933856E-14</v>
      </c>
      <c r="J6" s="20">
        <f t="shared" si="8"/>
        <v>0</v>
      </c>
      <c r="K6" s="20">
        <f t="shared" si="9"/>
        <v>0</v>
      </c>
      <c r="L6" s="20">
        <f t="shared" si="10"/>
        <v>0</v>
      </c>
      <c r="M6" s="4"/>
      <c r="N6" s="24" t="s">
        <v>19</v>
      </c>
      <c r="O6" s="25" cm="1">
        <f t="array" ref="O6">TREND(B23:B24,E23:E24,90)</f>
        <v>634.66666666666652</v>
      </c>
      <c r="P6" s="26" t="s">
        <v>6</v>
      </c>
      <c r="R6" s="8">
        <f t="shared" si="1"/>
        <v>28</v>
      </c>
      <c r="S6" s="8">
        <f t="shared" si="2"/>
        <v>34</v>
      </c>
      <c r="T6" s="9">
        <f t="shared" si="3"/>
        <v>0</v>
      </c>
      <c r="U6" s="9">
        <f t="shared" si="11"/>
        <v>0</v>
      </c>
      <c r="V6" s="9">
        <f t="shared" si="4"/>
        <v>0</v>
      </c>
      <c r="W6" s="9">
        <f t="shared" si="12"/>
        <v>0</v>
      </c>
      <c r="X6" s="8">
        <f t="shared" si="5"/>
        <v>28</v>
      </c>
      <c r="Y6" s="8">
        <f>VLOOKUP($Z$3,R3:S33,2)</f>
        <v>118</v>
      </c>
      <c r="Z6" s="8">
        <f>VLOOKUP(Y6,R4:T34,3)</f>
        <v>2.2999999999999998</v>
      </c>
      <c r="AA6" s="12"/>
    </row>
    <row r="7" spans="1:27" x14ac:dyDescent="0.25">
      <c r="B7" s="17">
        <v>34</v>
      </c>
      <c r="C7" s="18">
        <v>0</v>
      </c>
      <c r="E7" s="9">
        <v>0</v>
      </c>
      <c r="F7" s="20">
        <f t="shared" si="0"/>
        <v>0</v>
      </c>
      <c r="G7" s="9">
        <f t="shared" si="6"/>
        <v>0</v>
      </c>
      <c r="H7" s="9">
        <f t="shared" si="13"/>
        <v>0</v>
      </c>
      <c r="I7" s="20">
        <f t="shared" si="7"/>
        <v>2.0579526276115538E-14</v>
      </c>
      <c r="J7" s="20">
        <f t="shared" si="8"/>
        <v>0</v>
      </c>
      <c r="K7" s="20">
        <f t="shared" si="9"/>
        <v>0</v>
      </c>
      <c r="L7" s="20">
        <f t="shared" si="10"/>
        <v>0</v>
      </c>
      <c r="M7" s="4"/>
      <c r="N7" s="24" t="s">
        <v>23</v>
      </c>
      <c r="O7" s="27">
        <f>AA15</f>
        <v>110.77357215544853</v>
      </c>
      <c r="P7" s="26" t="s">
        <v>6</v>
      </c>
      <c r="R7" s="8">
        <f t="shared" si="1"/>
        <v>34</v>
      </c>
      <c r="S7" s="8">
        <f t="shared" si="2"/>
        <v>42</v>
      </c>
      <c r="T7" s="9">
        <f t="shared" si="3"/>
        <v>0</v>
      </c>
      <c r="U7" s="9">
        <f t="shared" si="11"/>
        <v>0</v>
      </c>
      <c r="V7" s="9">
        <f t="shared" si="4"/>
        <v>0</v>
      </c>
      <c r="W7" s="9">
        <f t="shared" si="12"/>
        <v>0</v>
      </c>
      <c r="X7" s="8">
        <f t="shared" si="5"/>
        <v>34</v>
      </c>
      <c r="Y7" s="12"/>
      <c r="Z7" s="8"/>
      <c r="AA7" s="12"/>
    </row>
    <row r="8" spans="1:27" x14ac:dyDescent="0.25">
      <c r="B8" s="17">
        <v>42</v>
      </c>
      <c r="C8" s="18">
        <v>0</v>
      </c>
      <c r="E8" s="9">
        <v>0</v>
      </c>
      <c r="F8" s="20">
        <f t="shared" si="0"/>
        <v>0</v>
      </c>
      <c r="G8" s="9">
        <f t="shared" si="6"/>
        <v>0</v>
      </c>
      <c r="H8" s="9">
        <f t="shared" si="13"/>
        <v>0</v>
      </c>
      <c r="I8" s="20">
        <f t="shared" si="7"/>
        <v>3.8792386086526761E-14</v>
      </c>
      <c r="J8" s="20">
        <f t="shared" si="8"/>
        <v>0</v>
      </c>
      <c r="K8" s="20">
        <f t="shared" si="9"/>
        <v>0</v>
      </c>
      <c r="L8" s="20">
        <f t="shared" si="10"/>
        <v>0</v>
      </c>
      <c r="M8" s="4"/>
      <c r="N8" s="24" t="s">
        <v>30</v>
      </c>
      <c r="O8" s="27">
        <f>K36</f>
        <v>242.86635298048904</v>
      </c>
      <c r="P8" s="26" t="s">
        <v>6</v>
      </c>
      <c r="R8" s="8">
        <f t="shared" si="1"/>
        <v>42</v>
      </c>
      <c r="S8" s="8">
        <f t="shared" si="2"/>
        <v>50</v>
      </c>
      <c r="T8" s="9">
        <f t="shared" si="3"/>
        <v>0</v>
      </c>
      <c r="U8" s="9">
        <f t="shared" si="11"/>
        <v>0.08</v>
      </c>
      <c r="V8" s="9">
        <f t="shared" si="4"/>
        <v>0</v>
      </c>
      <c r="W8" s="9">
        <f t="shared" si="12"/>
        <v>9.168156704063934</v>
      </c>
      <c r="X8" s="8">
        <f t="shared" si="5"/>
        <v>42</v>
      </c>
      <c r="Y8" s="10" t="s">
        <v>17</v>
      </c>
      <c r="Z8" s="11">
        <v>150</v>
      </c>
      <c r="AA8" s="12"/>
    </row>
    <row r="9" spans="1:27" x14ac:dyDescent="0.25">
      <c r="B9" s="17">
        <v>50</v>
      </c>
      <c r="C9" s="18">
        <v>0.08</v>
      </c>
      <c r="E9" s="9">
        <v>0.08</v>
      </c>
      <c r="F9" s="20">
        <f>C9/(4/3*PI()*(B9/2*0.000001)^3)</f>
        <v>1222309962945.7566</v>
      </c>
      <c r="G9" s="9">
        <f t="shared" si="6"/>
        <v>9.168156704063934</v>
      </c>
      <c r="H9" s="9">
        <f t="shared" si="13"/>
        <v>9.168156704063934</v>
      </c>
      <c r="I9" s="20">
        <f t="shared" si="7"/>
        <v>6.5449846949787335E-14</v>
      </c>
      <c r="J9" s="20">
        <f t="shared" si="8"/>
        <v>1222309962945.7566</v>
      </c>
      <c r="K9" s="20">
        <f t="shared" si="9"/>
        <v>1.5278874536821958E+17</v>
      </c>
      <c r="L9" s="20">
        <f t="shared" si="10"/>
        <v>3055774907364391.5</v>
      </c>
      <c r="M9" s="4"/>
      <c r="N9" s="24" t="s">
        <v>31</v>
      </c>
      <c r="O9" s="27">
        <f>L36</f>
        <v>350.17844462024135</v>
      </c>
      <c r="P9" s="26" t="s">
        <v>6</v>
      </c>
      <c r="R9" s="8">
        <f t="shared" si="1"/>
        <v>50</v>
      </c>
      <c r="S9" s="8">
        <f t="shared" si="2"/>
        <v>60</v>
      </c>
      <c r="T9" s="9">
        <f t="shared" si="3"/>
        <v>0.08</v>
      </c>
      <c r="U9" s="9">
        <f t="shared" si="11"/>
        <v>0.24</v>
      </c>
      <c r="V9" s="9">
        <f t="shared" si="4"/>
        <v>9.168156704063934</v>
      </c>
      <c r="W9" s="9">
        <f t="shared" si="12"/>
        <v>19.779449185619413</v>
      </c>
      <c r="X9" s="8">
        <f t="shared" si="5"/>
        <v>50</v>
      </c>
      <c r="Y9" s="8" t="s">
        <v>12</v>
      </c>
      <c r="Z9" s="8" t="s">
        <v>13</v>
      </c>
      <c r="AA9" s="10" t="s">
        <v>15</v>
      </c>
    </row>
    <row r="10" spans="1:27" x14ac:dyDescent="0.25">
      <c r="B10" s="17">
        <v>60</v>
      </c>
      <c r="C10" s="18">
        <v>0.15999999999999998</v>
      </c>
      <c r="E10" s="9">
        <v>0.24</v>
      </c>
      <c r="F10" s="20">
        <f t="shared" ref="F10:F33" si="14">C10/(4/3*PI()*(B10/2*0.000001)^3)</f>
        <v>1414710605261.292</v>
      </c>
      <c r="G10" s="9">
        <f t="shared" si="6"/>
        <v>10.611292481555477</v>
      </c>
      <c r="H10" s="9">
        <f t="shared" si="13"/>
        <v>19.779449185619413</v>
      </c>
      <c r="I10" s="20">
        <f t="shared" si="7"/>
        <v>1.1309733552923253E-13</v>
      </c>
      <c r="J10" s="20">
        <f t="shared" si="8"/>
        <v>1414710605261.292</v>
      </c>
      <c r="K10" s="20">
        <f t="shared" si="9"/>
        <v>3.0557749073643904E+17</v>
      </c>
      <c r="L10" s="20">
        <f t="shared" si="10"/>
        <v>5092958178940651</v>
      </c>
      <c r="M10" s="4"/>
      <c r="N10" s="24" t="s">
        <v>22</v>
      </c>
      <c r="O10" s="28">
        <f>O5/O7</f>
        <v>3.4762283847584667</v>
      </c>
      <c r="P10" s="26"/>
      <c r="R10" s="8">
        <f t="shared" si="1"/>
        <v>60</v>
      </c>
      <c r="S10" s="8">
        <f t="shared" si="2"/>
        <v>72</v>
      </c>
      <c r="T10" s="9">
        <f t="shared" si="3"/>
        <v>0.24</v>
      </c>
      <c r="U10" s="9">
        <f t="shared" si="11"/>
        <v>0.48</v>
      </c>
      <c r="V10" s="9">
        <f t="shared" si="4"/>
        <v>19.779449185619413</v>
      </c>
      <c r="W10" s="9">
        <f t="shared" si="12"/>
        <v>28.990640575858542</v>
      </c>
      <c r="X10" s="8">
        <f t="shared" si="5"/>
        <v>60</v>
      </c>
      <c r="Y10" s="8">
        <f>VLOOKUP($Z$8,$R$3:$R$33,1)</f>
        <v>148</v>
      </c>
      <c r="Z10" s="8">
        <f>VLOOKUP(Y10,R7:T37,3)</f>
        <v>4.5199999999999996</v>
      </c>
      <c r="AA10" s="13">
        <f>Z10+(((Z11-Z10)/(Y11-Y10))*(Z8-Y10))</f>
        <v>4.7326666666666659</v>
      </c>
    </row>
    <row r="11" spans="1:27" x14ac:dyDescent="0.25">
      <c r="B11" s="17">
        <v>72</v>
      </c>
      <c r="C11" s="18">
        <v>0.24</v>
      </c>
      <c r="E11" s="9">
        <v>0.48</v>
      </c>
      <c r="F11" s="20">
        <f t="shared" si="14"/>
        <v>1228047400400.427</v>
      </c>
      <c r="G11" s="9">
        <f t="shared" si="6"/>
        <v>9.2111913902391294</v>
      </c>
      <c r="H11" s="9">
        <f t="shared" si="13"/>
        <v>28.990640575858542</v>
      </c>
      <c r="I11" s="20">
        <f t="shared" si="7"/>
        <v>1.9543219579451384E-13</v>
      </c>
      <c r="J11" s="20">
        <f t="shared" si="8"/>
        <v>1228047400400.427</v>
      </c>
      <c r="K11" s="20">
        <f t="shared" si="9"/>
        <v>4.5836623610465856E+17</v>
      </c>
      <c r="L11" s="20">
        <f t="shared" si="10"/>
        <v>6366197723675814</v>
      </c>
      <c r="M11" s="4"/>
      <c r="N11" s="24" t="s">
        <v>36</v>
      </c>
      <c r="O11" s="28">
        <f>(O6-O4)/O5</f>
        <v>1.1426158087726621</v>
      </c>
      <c r="P11" s="26"/>
      <c r="R11" s="8">
        <f t="shared" si="1"/>
        <v>72</v>
      </c>
      <c r="S11" s="8">
        <f t="shared" si="2"/>
        <v>84</v>
      </c>
      <c r="T11" s="9">
        <f t="shared" si="3"/>
        <v>0.48</v>
      </c>
      <c r="U11" s="9">
        <f t="shared" si="11"/>
        <v>0.8</v>
      </c>
      <c r="V11" s="9">
        <f t="shared" si="4"/>
        <v>28.990640575858542</v>
      </c>
      <c r="W11" s="9">
        <f t="shared" si="12"/>
        <v>36.724818769412096</v>
      </c>
      <c r="X11" s="8">
        <f t="shared" si="5"/>
        <v>72</v>
      </c>
      <c r="Y11" s="8">
        <f>VLOOKUP($Z$8,R7:S37,2)</f>
        <v>178</v>
      </c>
      <c r="Z11" s="8">
        <f>VLOOKUP(Y11,R8:T38,3)</f>
        <v>7.71</v>
      </c>
      <c r="AA11" s="8"/>
    </row>
    <row r="12" spans="1:27" x14ac:dyDescent="0.25">
      <c r="B12" s="17">
        <v>84</v>
      </c>
      <c r="C12" s="18">
        <v>0.32000000000000006</v>
      </c>
      <c r="E12" s="9">
        <v>0.8</v>
      </c>
      <c r="F12" s="20">
        <f t="shared" si="14"/>
        <v>1031130178761.8749</v>
      </c>
      <c r="G12" s="9">
        <f t="shared" si="6"/>
        <v>7.7341781935535563</v>
      </c>
      <c r="H12" s="9">
        <f t="shared" si="13"/>
        <v>36.724818769412096</v>
      </c>
      <c r="I12" s="20">
        <f t="shared" si="7"/>
        <v>3.1033908869221409E-13</v>
      </c>
      <c r="J12" s="20">
        <f t="shared" si="8"/>
        <v>1031130178761.8749</v>
      </c>
      <c r="K12" s="20">
        <f t="shared" si="9"/>
        <v>6.1115498147287834E+17</v>
      </c>
      <c r="L12" s="20">
        <f t="shared" si="10"/>
        <v>7275654541343789</v>
      </c>
      <c r="M12" s="37" t="s">
        <v>35</v>
      </c>
      <c r="N12" s="24" t="s">
        <v>5</v>
      </c>
      <c r="O12" s="28" cm="1">
        <f t="array" ref="O12">TREND(E14:E15,B14:B15,141)</f>
        <v>4.0020000000000007</v>
      </c>
      <c r="P12" s="26" t="s">
        <v>7</v>
      </c>
      <c r="R12" s="8">
        <f t="shared" si="1"/>
        <v>84</v>
      </c>
      <c r="S12" s="8">
        <f t="shared" si="2"/>
        <v>98</v>
      </c>
      <c r="T12" s="9">
        <f t="shared" si="3"/>
        <v>0.8</v>
      </c>
      <c r="U12" s="9">
        <f t="shared" si="11"/>
        <v>1.31</v>
      </c>
      <c r="V12" s="9">
        <f t="shared" si="4"/>
        <v>36.724818769412096</v>
      </c>
      <c r="W12" s="9">
        <f t="shared" si="12"/>
        <v>44.487182743554406</v>
      </c>
      <c r="X12" s="8">
        <f t="shared" si="5"/>
        <v>84</v>
      </c>
      <c r="Y12" s="12"/>
      <c r="Z12" s="12"/>
      <c r="AA12" s="12"/>
    </row>
    <row r="13" spans="1:27" x14ac:dyDescent="0.25">
      <c r="B13" s="17">
        <v>98</v>
      </c>
      <c r="C13" s="18">
        <v>0.51</v>
      </c>
      <c r="E13" s="9">
        <v>1.31</v>
      </c>
      <c r="F13" s="20">
        <f t="shared" si="14"/>
        <v>1034887941804.01</v>
      </c>
      <c r="G13" s="9">
        <f t="shared" si="6"/>
        <v>7.7623639741423096</v>
      </c>
      <c r="H13" s="9">
        <f t="shared" si="13"/>
        <v>44.487182743554406</v>
      </c>
      <c r="I13" s="20">
        <f t="shared" si="7"/>
        <v>4.9280697880291396E-13</v>
      </c>
      <c r="J13" s="20">
        <f t="shared" si="8"/>
        <v>1034887941804.01</v>
      </c>
      <c r="K13" s="20">
        <f t="shared" si="9"/>
        <v>9.7402825172239974E+17</v>
      </c>
      <c r="L13" s="20">
        <f t="shared" si="10"/>
        <v>9939063793085712</v>
      </c>
      <c r="M13" s="4"/>
      <c r="N13" s="24" t="s">
        <v>10</v>
      </c>
      <c r="O13" s="29">
        <f>AA5</f>
        <v>1.409</v>
      </c>
      <c r="P13" s="30" t="s">
        <v>7</v>
      </c>
      <c r="R13" s="8">
        <f t="shared" si="1"/>
        <v>98</v>
      </c>
      <c r="S13" s="8">
        <f t="shared" si="2"/>
        <v>118</v>
      </c>
      <c r="T13" s="9">
        <f t="shared" si="3"/>
        <v>1.31</v>
      </c>
      <c r="U13" s="9">
        <f t="shared" si="11"/>
        <v>2.2999999999999998</v>
      </c>
      <c r="V13" s="9">
        <f t="shared" si="4"/>
        <v>44.487182743554406</v>
      </c>
      <c r="W13" s="9">
        <f t="shared" si="12"/>
        <v>53.118781155270611</v>
      </c>
      <c r="X13" s="8">
        <f t="shared" si="5"/>
        <v>98</v>
      </c>
      <c r="Y13" s="10" t="s">
        <v>25</v>
      </c>
      <c r="Z13" s="11">
        <v>50</v>
      </c>
      <c r="AA13" s="12"/>
    </row>
    <row r="14" spans="1:27" ht="15.75" thickBot="1" x14ac:dyDescent="0.3">
      <c r="B14" s="17">
        <v>118</v>
      </c>
      <c r="C14" s="18">
        <v>0.98999999999999977</v>
      </c>
      <c r="E14" s="9">
        <v>2.2999999999999998</v>
      </c>
      <c r="F14" s="20">
        <f t="shared" si="14"/>
        <v>1150775349434.2876</v>
      </c>
      <c r="G14" s="9">
        <f t="shared" si="6"/>
        <v>8.631598411716201</v>
      </c>
      <c r="H14" s="9">
        <f t="shared" si="13"/>
        <v>53.118781155270611</v>
      </c>
      <c r="I14" s="20">
        <f t="shared" si="7"/>
        <v>8.6028954346882402E-13</v>
      </c>
      <c r="J14" s="20">
        <f t="shared" si="8"/>
        <v>1150775349434.2876</v>
      </c>
      <c r="K14" s="20">
        <f t="shared" si="9"/>
        <v>1.8907607239317164E+18</v>
      </c>
      <c r="L14" s="20">
        <f t="shared" si="10"/>
        <v>1.602339596552302E+16</v>
      </c>
      <c r="M14" s="4"/>
      <c r="N14" s="31" t="s">
        <v>11</v>
      </c>
      <c r="O14" s="32">
        <f>AA10</f>
        <v>4.7326666666666659</v>
      </c>
      <c r="P14" s="33" t="s">
        <v>7</v>
      </c>
      <c r="R14" s="8">
        <f t="shared" si="1"/>
        <v>118</v>
      </c>
      <c r="S14" s="8">
        <f t="shared" si="2"/>
        <v>148</v>
      </c>
      <c r="T14" s="9">
        <f t="shared" si="3"/>
        <v>2.2999999999999998</v>
      </c>
      <c r="U14" s="9">
        <f t="shared" si="11"/>
        <v>4.5199999999999996</v>
      </c>
      <c r="V14" s="9">
        <f t="shared" si="4"/>
        <v>53.118781155270611</v>
      </c>
      <c r="W14" s="9">
        <f t="shared" si="12"/>
        <v>62.928800912004469</v>
      </c>
      <c r="X14" s="8">
        <f t="shared" si="5"/>
        <v>118</v>
      </c>
      <c r="Y14" s="12"/>
      <c r="Z14" s="12"/>
      <c r="AA14" s="10" t="s">
        <v>23</v>
      </c>
    </row>
    <row r="15" spans="1:27" ht="15.75" thickTop="1" x14ac:dyDescent="0.25">
      <c r="B15" s="17">
        <v>148</v>
      </c>
      <c r="C15" s="18">
        <v>2.2199999999999998</v>
      </c>
      <c r="E15" s="9">
        <v>4.5199999999999996</v>
      </c>
      <c r="F15" s="20">
        <f t="shared" si="14"/>
        <v>1307883937022.5146</v>
      </c>
      <c r="G15" s="9">
        <f t="shared" si="6"/>
        <v>9.8100197567338583</v>
      </c>
      <c r="H15" s="9">
        <f t="shared" si="13"/>
        <v>62.928800912004469</v>
      </c>
      <c r="I15" s="20">
        <f t="shared" si="7"/>
        <v>1.6973983219443601E-12</v>
      </c>
      <c r="J15" s="20">
        <f t="shared" si="8"/>
        <v>1307883937022.5146</v>
      </c>
      <c r="K15" s="20">
        <f t="shared" si="9"/>
        <v>4.2398876839680916E+18</v>
      </c>
      <c r="L15" s="20">
        <f t="shared" si="10"/>
        <v>2.864788975654116E+16</v>
      </c>
      <c r="M15" s="4"/>
      <c r="R15" s="8">
        <f t="shared" si="1"/>
        <v>148</v>
      </c>
      <c r="S15" s="8">
        <f t="shared" si="2"/>
        <v>178</v>
      </c>
      <c r="T15" s="9">
        <f t="shared" si="3"/>
        <v>4.5199999999999996</v>
      </c>
      <c r="U15" s="9">
        <f t="shared" si="11"/>
        <v>7.71</v>
      </c>
      <c r="V15" s="9">
        <f t="shared" si="4"/>
        <v>62.928800912004469</v>
      </c>
      <c r="W15" s="9">
        <f t="shared" si="12"/>
        <v>71.031556329586422</v>
      </c>
      <c r="X15" s="8">
        <f t="shared" si="5"/>
        <v>148</v>
      </c>
      <c r="Y15" s="14">
        <f>VLOOKUP($Z$13,$V$3:$V$33,1)</f>
        <v>44.487182743554406</v>
      </c>
      <c r="Z15" s="8">
        <f>VLOOKUP(Y15,V3:X33,3)</f>
        <v>98</v>
      </c>
      <c r="AA15" s="15">
        <f>Z15+(((Z16-Z15)/(Y16-Y15))*(Z13-Y15))</f>
        <v>110.77357215544853</v>
      </c>
    </row>
    <row r="16" spans="1:27" x14ac:dyDescent="0.25">
      <c r="B16" s="17">
        <v>178</v>
      </c>
      <c r="C16" s="18">
        <v>3.1900000000000004</v>
      </c>
      <c r="E16" s="9">
        <v>7.71</v>
      </c>
      <c r="F16" s="20">
        <f t="shared" si="14"/>
        <v>1080269348999.3455</v>
      </c>
      <c r="G16" s="9">
        <f t="shared" si="6"/>
        <v>8.1027554175819585</v>
      </c>
      <c r="H16" s="9">
        <f t="shared" si="13"/>
        <v>71.031556329586422</v>
      </c>
      <c r="I16" s="20">
        <f t="shared" si="7"/>
        <v>2.9529672418780563E-12</v>
      </c>
      <c r="J16" s="20">
        <f t="shared" si="8"/>
        <v>1080269348999.3455</v>
      </c>
      <c r="K16" s="20">
        <f t="shared" si="9"/>
        <v>6.0924512215577569E+18</v>
      </c>
      <c r="L16" s="20">
        <f t="shared" si="10"/>
        <v>3.422725405369526E+16</v>
      </c>
      <c r="M16" s="4"/>
      <c r="R16" s="8">
        <f t="shared" si="1"/>
        <v>178</v>
      </c>
      <c r="S16" s="8">
        <f t="shared" si="2"/>
        <v>208</v>
      </c>
      <c r="T16" s="9">
        <f t="shared" si="3"/>
        <v>7.71</v>
      </c>
      <c r="U16" s="9">
        <f t="shared" si="11"/>
        <v>11.83</v>
      </c>
      <c r="V16" s="9">
        <f t="shared" si="4"/>
        <v>71.031556329586422</v>
      </c>
      <c r="W16" s="9">
        <f t="shared" si="12"/>
        <v>77.590127941622583</v>
      </c>
      <c r="X16" s="8">
        <f t="shared" si="5"/>
        <v>178</v>
      </c>
      <c r="Y16" s="14">
        <f>VLOOKUP($Z$13,V3:W33,2)</f>
        <v>53.118781155270611</v>
      </c>
      <c r="Z16" s="8">
        <f>VLOOKUP(Y16,V3:X33,3)</f>
        <v>118</v>
      </c>
      <c r="AA16" s="12"/>
    </row>
    <row r="17" spans="2:27" x14ac:dyDescent="0.25">
      <c r="B17" s="17">
        <v>208</v>
      </c>
      <c r="C17" s="18">
        <v>4.12</v>
      </c>
      <c r="E17" s="9">
        <v>11.83</v>
      </c>
      <c r="F17" s="20">
        <f t="shared" si="14"/>
        <v>874396858916.20093</v>
      </c>
      <c r="G17" s="9">
        <f t="shared" si="6"/>
        <v>6.5585716120361637</v>
      </c>
      <c r="H17" s="9">
        <f t="shared" si="13"/>
        <v>77.590127941622583</v>
      </c>
      <c r="I17" s="20">
        <f t="shared" si="7"/>
        <v>4.7118193049168375E-12</v>
      </c>
      <c r="J17" s="20">
        <f t="shared" si="8"/>
        <v>874396858916.20093</v>
      </c>
      <c r="K17" s="20">
        <f t="shared" si="9"/>
        <v>7.8686203864633078E+18</v>
      </c>
      <c r="L17" s="20">
        <f t="shared" si="10"/>
        <v>3.782990570415052E+16</v>
      </c>
      <c r="M17" s="4"/>
      <c r="R17" s="8">
        <f t="shared" si="1"/>
        <v>208</v>
      </c>
      <c r="S17" s="8">
        <f t="shared" si="2"/>
        <v>248</v>
      </c>
      <c r="T17" s="9">
        <f t="shared" si="3"/>
        <v>11.83</v>
      </c>
      <c r="U17" s="9">
        <f t="shared" si="11"/>
        <v>18.63</v>
      </c>
      <c r="V17" s="9">
        <f t="shared" si="4"/>
        <v>77.590127941622583</v>
      </c>
      <c r="W17" s="9">
        <f t="shared" si="12"/>
        <v>83.976525114103836</v>
      </c>
      <c r="X17" s="8">
        <f t="shared" si="5"/>
        <v>208</v>
      </c>
      <c r="Y17" s="12"/>
      <c r="Z17" s="12"/>
      <c r="AA17" s="12"/>
    </row>
    <row r="18" spans="2:27" x14ac:dyDescent="0.25">
      <c r="B18" s="17">
        <v>248</v>
      </c>
      <c r="C18" s="18">
        <v>6.7999999999999989</v>
      </c>
      <c r="E18" s="9">
        <v>18.63</v>
      </c>
      <c r="F18" s="20">
        <f t="shared" si="14"/>
        <v>851442350215.52869</v>
      </c>
      <c r="G18" s="9">
        <f t="shared" si="6"/>
        <v>6.3863971724812592</v>
      </c>
      <c r="H18" s="9">
        <f t="shared" si="13"/>
        <v>83.976525114103836</v>
      </c>
      <c r="I18" s="20">
        <f t="shared" si="7"/>
        <v>7.9864479354106482E-12</v>
      </c>
      <c r="J18" s="20">
        <f t="shared" si="8"/>
        <v>851442350215.52869</v>
      </c>
      <c r="K18" s="20">
        <f t="shared" si="9"/>
        <v>1.2987043356298658E+19</v>
      </c>
      <c r="L18" s="20">
        <f t="shared" si="10"/>
        <v>5.236711030765588E+16</v>
      </c>
      <c r="M18" s="4"/>
      <c r="R18" s="8">
        <f t="shared" si="1"/>
        <v>248</v>
      </c>
      <c r="S18" s="8">
        <f t="shared" si="2"/>
        <v>298</v>
      </c>
      <c r="T18" s="9">
        <f t="shared" si="3"/>
        <v>18.63</v>
      </c>
      <c r="U18" s="9">
        <f t="shared" si="11"/>
        <v>28.87</v>
      </c>
      <c r="V18" s="9">
        <f t="shared" si="4"/>
        <v>83.976525114103836</v>
      </c>
      <c r="W18" s="9">
        <f t="shared" si="12"/>
        <v>89.519631555021718</v>
      </c>
      <c r="X18" s="8">
        <f t="shared" si="5"/>
        <v>248</v>
      </c>
      <c r="Y18" s="10" t="s">
        <v>27</v>
      </c>
      <c r="Z18" s="11">
        <v>50</v>
      </c>
      <c r="AA18" s="12"/>
    </row>
    <row r="19" spans="2:27" x14ac:dyDescent="0.25">
      <c r="B19" s="17">
        <v>298</v>
      </c>
      <c r="C19" s="18">
        <v>10.240000000000002</v>
      </c>
      <c r="E19" s="9">
        <v>28.87</v>
      </c>
      <c r="F19" s="20">
        <f t="shared" si="14"/>
        <v>739013789478.46936</v>
      </c>
      <c r="G19" s="9">
        <f t="shared" si="6"/>
        <v>5.5431064409178834</v>
      </c>
      <c r="H19" s="9">
        <f t="shared" si="13"/>
        <v>89.519631555021718</v>
      </c>
      <c r="I19" s="20">
        <f t="shared" si="7"/>
        <v>1.3856304369132935E-11</v>
      </c>
      <c r="J19" s="20">
        <f t="shared" si="8"/>
        <v>739013789478.46936</v>
      </c>
      <c r="K19" s="20">
        <f t="shared" si="9"/>
        <v>1.9556959407132107E+19</v>
      </c>
      <c r="L19" s="20">
        <f t="shared" si="10"/>
        <v>6.5627380560845992E+16</v>
      </c>
      <c r="M19" s="4"/>
      <c r="R19" s="8">
        <f t="shared" si="1"/>
        <v>298</v>
      </c>
      <c r="S19" s="8">
        <f t="shared" si="2"/>
        <v>358</v>
      </c>
      <c r="T19" s="9">
        <f t="shared" si="3"/>
        <v>28.87</v>
      </c>
      <c r="U19" s="9">
        <f t="shared" si="11"/>
        <v>42.56</v>
      </c>
      <c r="V19" s="9">
        <f t="shared" si="4"/>
        <v>89.519631555021718</v>
      </c>
      <c r="W19" s="9">
        <f t="shared" si="12"/>
        <v>93.793847124447254</v>
      </c>
      <c r="X19" s="8">
        <f t="shared" si="5"/>
        <v>298</v>
      </c>
      <c r="Y19" s="12"/>
      <c r="Z19" s="12"/>
      <c r="AA19" s="10" t="s">
        <v>23</v>
      </c>
    </row>
    <row r="20" spans="2:27" x14ac:dyDescent="0.25">
      <c r="B20" s="17">
        <v>358</v>
      </c>
      <c r="C20" s="18">
        <v>13.690000000000001</v>
      </c>
      <c r="E20" s="9">
        <v>42.56</v>
      </c>
      <c r="F20" s="20">
        <f t="shared" si="14"/>
        <v>569843693004.38428</v>
      </c>
      <c r="G20" s="9">
        <f t="shared" si="6"/>
        <v>4.2742155694255306</v>
      </c>
      <c r="H20" s="9">
        <f t="shared" si="13"/>
        <v>93.793847124447254</v>
      </c>
      <c r="I20" s="20">
        <f t="shared" si="7"/>
        <v>2.4024131824329368E-11</v>
      </c>
      <c r="J20" s="20">
        <f t="shared" si="8"/>
        <v>569843693004.38428</v>
      </c>
      <c r="K20" s="20">
        <f t="shared" si="9"/>
        <v>2.6145974051136578E+19</v>
      </c>
      <c r="L20" s="20">
        <f t="shared" si="10"/>
        <v>7.3033447070213904E+16</v>
      </c>
      <c r="M20" s="4"/>
      <c r="R20" s="8">
        <f t="shared" si="1"/>
        <v>358</v>
      </c>
      <c r="S20" s="8">
        <f t="shared" si="2"/>
        <v>408</v>
      </c>
      <c r="T20" s="9">
        <f t="shared" si="3"/>
        <v>42.56</v>
      </c>
      <c r="U20" s="9">
        <f t="shared" si="11"/>
        <v>56.3</v>
      </c>
      <c r="V20" s="9">
        <f t="shared" si="4"/>
        <v>93.793847124447254</v>
      </c>
      <c r="W20" s="9">
        <f t="shared" si="12"/>
        <v>96.691913294091492</v>
      </c>
      <c r="X20" s="8">
        <f t="shared" si="5"/>
        <v>358</v>
      </c>
      <c r="Y20" s="14">
        <f>VLOOKUP($Z$13,$T$3:$T$33,1)</f>
        <v>42.56</v>
      </c>
      <c r="Z20" s="8">
        <f>VLOOKUP(Y20,T3:X33,5)</f>
        <v>358</v>
      </c>
      <c r="AA20" s="15">
        <f>Z20+(((Z21-Z20)/(Y21-Y20))*(Z18-Y20))</f>
        <v>385.07423580786025</v>
      </c>
    </row>
    <row r="21" spans="2:27" x14ac:dyDescent="0.25">
      <c r="B21" s="17">
        <v>408</v>
      </c>
      <c r="C21" s="18">
        <v>13.739999999999995</v>
      </c>
      <c r="E21" s="9">
        <v>56.3</v>
      </c>
      <c r="F21" s="20">
        <f t="shared" si="14"/>
        <v>386373757209.23254</v>
      </c>
      <c r="G21" s="9">
        <f t="shared" si="6"/>
        <v>2.8980661696442356</v>
      </c>
      <c r="H21" s="9">
        <f t="shared" si="13"/>
        <v>96.691913294091492</v>
      </c>
      <c r="I21" s="20">
        <f t="shared" si="7"/>
        <v>3.5561421405127645E-11</v>
      </c>
      <c r="J21" s="20">
        <f t="shared" si="8"/>
        <v>386373757209.23254</v>
      </c>
      <c r="K21" s="20">
        <f t="shared" si="9"/>
        <v>2.6241467016991695E+19</v>
      </c>
      <c r="L21" s="20">
        <f t="shared" si="10"/>
        <v>6.4317321120077688E+16</v>
      </c>
      <c r="M21" s="4"/>
      <c r="R21" s="8">
        <f t="shared" si="1"/>
        <v>408</v>
      </c>
      <c r="S21" s="8">
        <f t="shared" si="2"/>
        <v>498</v>
      </c>
      <c r="T21" s="9">
        <f t="shared" si="3"/>
        <v>56.3</v>
      </c>
      <c r="U21" s="9">
        <f t="shared" si="11"/>
        <v>72.680000000000007</v>
      </c>
      <c r="V21" s="9">
        <f t="shared" si="4"/>
        <v>96.691913294091492</v>
      </c>
      <c r="W21" s="9">
        <f t="shared" si="12"/>
        <v>98.591800958202853</v>
      </c>
      <c r="X21" s="8">
        <f t="shared" si="5"/>
        <v>408</v>
      </c>
      <c r="Y21" s="14">
        <f>VLOOKUP($Z$13,T3:U33,2)</f>
        <v>56.3</v>
      </c>
      <c r="Z21" s="8">
        <f>VLOOKUP(Y21,T3:X33,5)</f>
        <v>408</v>
      </c>
      <c r="AA21" s="12"/>
    </row>
    <row r="22" spans="2:27" x14ac:dyDescent="0.25">
      <c r="B22" s="17">
        <v>498</v>
      </c>
      <c r="C22" s="18">
        <v>16.38000000000001</v>
      </c>
      <c r="E22" s="9">
        <v>72.680000000000007</v>
      </c>
      <c r="F22" s="20">
        <f t="shared" si="14"/>
        <v>253295367354.67035</v>
      </c>
      <c r="G22" s="9">
        <f t="shared" si="6"/>
        <v>1.8998876641113616</v>
      </c>
      <c r="H22" s="9">
        <f t="shared" si="13"/>
        <v>98.591800958202853</v>
      </c>
      <c r="I22" s="20">
        <f t="shared" si="7"/>
        <v>6.466758619025327E-11</v>
      </c>
      <c r="J22" s="20">
        <f t="shared" si="8"/>
        <v>253295367354.67035</v>
      </c>
      <c r="K22" s="20">
        <f t="shared" si="9"/>
        <v>3.1283495614142976E+19</v>
      </c>
      <c r="L22" s="20">
        <f t="shared" si="10"/>
        <v>6.2818264285427664E+16</v>
      </c>
      <c r="M22" s="4"/>
      <c r="R22" s="8">
        <f t="shared" si="1"/>
        <v>498</v>
      </c>
      <c r="S22" s="8">
        <f t="shared" si="2"/>
        <v>598</v>
      </c>
      <c r="T22" s="9">
        <f t="shared" si="3"/>
        <v>72.680000000000007</v>
      </c>
      <c r="U22" s="9">
        <f t="shared" si="11"/>
        <v>87.25</v>
      </c>
      <c r="V22" s="9">
        <f t="shared" si="4"/>
        <v>98.591800958202853</v>
      </c>
      <c r="W22" s="9">
        <f t="shared" si="12"/>
        <v>99.567819467091923</v>
      </c>
      <c r="X22" s="8">
        <f t="shared" si="5"/>
        <v>498</v>
      </c>
      <c r="Y22" s="12"/>
      <c r="Z22" s="12"/>
      <c r="AA22" s="12"/>
    </row>
    <row r="23" spans="2:27" x14ac:dyDescent="0.25">
      <c r="B23" s="17">
        <v>598</v>
      </c>
      <c r="C23" s="18">
        <v>14.569999999999993</v>
      </c>
      <c r="E23" s="9">
        <v>87.25</v>
      </c>
      <c r="F23" s="20">
        <f t="shared" si="14"/>
        <v>130123991762.24379</v>
      </c>
      <c r="G23" s="9">
        <f t="shared" si="6"/>
        <v>0.97601850888907327</v>
      </c>
      <c r="H23" s="9">
        <f t="shared" si="13"/>
        <v>99.567819467091923</v>
      </c>
      <c r="I23" s="20">
        <f t="shared" si="7"/>
        <v>1.1197012789633434E-10</v>
      </c>
      <c r="J23" s="20">
        <f t="shared" si="8"/>
        <v>130123991762.24379</v>
      </c>
      <c r="K23" s="20">
        <f t="shared" si="9"/>
        <v>2.7826650250186965E+19</v>
      </c>
      <c r="L23" s="20">
        <f t="shared" si="10"/>
        <v>4.6532859950145432E+16</v>
      </c>
      <c r="M23" s="4"/>
      <c r="R23" s="8">
        <f t="shared" si="1"/>
        <v>598</v>
      </c>
      <c r="S23" s="8">
        <f t="shared" si="2"/>
        <v>718</v>
      </c>
      <c r="T23" s="9">
        <f t="shared" si="3"/>
        <v>87.25</v>
      </c>
      <c r="U23" s="9">
        <f t="shared" si="11"/>
        <v>96.25</v>
      </c>
      <c r="V23" s="9">
        <f t="shared" si="4"/>
        <v>99.567819467091923</v>
      </c>
      <c r="W23" s="9">
        <f t="shared" si="12"/>
        <v>99.916133707532168</v>
      </c>
      <c r="X23" s="8">
        <f t="shared" si="5"/>
        <v>598</v>
      </c>
      <c r="Y23" s="10" t="s">
        <v>29</v>
      </c>
      <c r="Z23" s="11">
        <v>50</v>
      </c>
      <c r="AA23" s="12"/>
    </row>
    <row r="24" spans="2:27" x14ac:dyDescent="0.25">
      <c r="B24" s="17">
        <v>718</v>
      </c>
      <c r="C24" s="18">
        <v>9</v>
      </c>
      <c r="E24" s="9">
        <v>96.25</v>
      </c>
      <c r="F24" s="20">
        <f t="shared" si="14"/>
        <v>46437684266.159698</v>
      </c>
      <c r="G24" s="9">
        <f t="shared" si="6"/>
        <v>0.34831424044024595</v>
      </c>
      <c r="H24" s="9">
        <f t="shared" si="13"/>
        <v>99.916133707532168</v>
      </c>
      <c r="I24" s="20">
        <f t="shared" si="7"/>
        <v>1.9380811386752386E-10</v>
      </c>
      <c r="J24" s="20">
        <f t="shared" si="8"/>
        <v>46437684266.159698</v>
      </c>
      <c r="K24" s="20">
        <f t="shared" si="9"/>
        <v>1.7188733853924698E+19</v>
      </c>
      <c r="L24" s="20">
        <f t="shared" si="10"/>
        <v>2.3939740743627712E+16</v>
      </c>
      <c r="M24" s="4"/>
      <c r="R24" s="8">
        <f t="shared" si="1"/>
        <v>718</v>
      </c>
      <c r="S24" s="8">
        <f t="shared" si="2"/>
        <v>858</v>
      </c>
      <c r="T24" s="9">
        <f t="shared" si="3"/>
        <v>96.25</v>
      </c>
      <c r="U24" s="9">
        <f t="shared" si="11"/>
        <v>99.87</v>
      </c>
      <c r="V24" s="9">
        <f t="shared" si="4"/>
        <v>99.916133707532168</v>
      </c>
      <c r="W24" s="9">
        <f t="shared" si="12"/>
        <v>99.998234766860449</v>
      </c>
      <c r="X24" s="8">
        <f t="shared" si="5"/>
        <v>718</v>
      </c>
      <c r="Y24" s="12"/>
      <c r="Z24" s="12"/>
      <c r="AA24" s="10" t="s">
        <v>23</v>
      </c>
    </row>
    <row r="25" spans="2:27" x14ac:dyDescent="0.25">
      <c r="B25" s="17">
        <v>858</v>
      </c>
      <c r="C25" s="18">
        <v>3.6200000000000045</v>
      </c>
      <c r="E25" s="9">
        <v>99.87</v>
      </c>
      <c r="F25" s="20">
        <f t="shared" si="14"/>
        <v>10945814521.351183</v>
      </c>
      <c r="G25" s="9">
        <f t="shared" si="6"/>
        <v>8.2101059328287304E-2</v>
      </c>
      <c r="H25" s="9">
        <f t="shared" si="13"/>
        <v>99.998234766860449</v>
      </c>
      <c r="I25" s="20">
        <f t="shared" si="7"/>
        <v>3.3072002023593043E-10</v>
      </c>
      <c r="J25" s="20">
        <f t="shared" si="8"/>
        <v>10945814521.351183</v>
      </c>
      <c r="K25" s="20">
        <f t="shared" si="9"/>
        <v>6.9136907279119442E+18</v>
      </c>
      <c r="L25" s="20">
        <f t="shared" si="10"/>
        <v>8057914601295972</v>
      </c>
      <c r="M25" s="4"/>
      <c r="R25" s="8">
        <f t="shared" si="1"/>
        <v>858</v>
      </c>
      <c r="S25" s="8">
        <f t="shared" si="2"/>
        <v>1018</v>
      </c>
      <c r="T25" s="9">
        <f t="shared" si="3"/>
        <v>99.87</v>
      </c>
      <c r="U25" s="9">
        <f t="shared" si="11"/>
        <v>100</v>
      </c>
      <c r="V25" s="9">
        <f t="shared" si="4"/>
        <v>99.998234766860449</v>
      </c>
      <c r="W25" s="9">
        <f t="shared" si="12"/>
        <v>99.999999999999972</v>
      </c>
      <c r="X25" s="8">
        <f t="shared" si="5"/>
        <v>858</v>
      </c>
      <c r="Y25" s="14">
        <f>VLOOKUP($Z$13,$T$3:$T$33,1)</f>
        <v>42.56</v>
      </c>
      <c r="Z25" s="8">
        <f>VLOOKUP(Y25,T8:X38,5)</f>
        <v>358</v>
      </c>
      <c r="AA25" s="15">
        <f>Z25+(((Z26-Z25)/(Y26-Y25))*(Z23-Y25))</f>
        <v>385.07423580786025</v>
      </c>
    </row>
    <row r="26" spans="2:27" x14ac:dyDescent="0.25">
      <c r="B26" s="17">
        <v>1018</v>
      </c>
      <c r="C26" s="18">
        <v>0.12999999999999545</v>
      </c>
      <c r="E26" s="9">
        <v>100</v>
      </c>
      <c r="F26" s="20">
        <f t="shared" si="14"/>
        <v>235343060.00786951</v>
      </c>
      <c r="G26" s="9">
        <f t="shared" si="6"/>
        <v>1.7652331395271643E-3</v>
      </c>
      <c r="H26" s="9">
        <f t="shared" si="13"/>
        <v>99.999999999999972</v>
      </c>
      <c r="I26" s="20">
        <f t="shared" si="7"/>
        <v>5.5238510111854773E-10</v>
      </c>
      <c r="J26" s="20">
        <f t="shared" si="8"/>
        <v>235343060.00786951</v>
      </c>
      <c r="K26" s="20">
        <f t="shared" si="9"/>
        <v>2.482817112233481E+17</v>
      </c>
      <c r="L26" s="20">
        <f t="shared" si="10"/>
        <v>243891661319595.38</v>
      </c>
      <c r="M26" s="4"/>
      <c r="R26" s="8">
        <f t="shared" si="1"/>
        <v>1018</v>
      </c>
      <c r="S26" s="8">
        <f t="shared" si="2"/>
        <v>1218</v>
      </c>
      <c r="T26" s="9">
        <f t="shared" si="3"/>
        <v>100</v>
      </c>
      <c r="U26" s="9">
        <f t="shared" si="11"/>
        <v>100</v>
      </c>
      <c r="V26" s="9">
        <f t="shared" si="4"/>
        <v>99.999999999999972</v>
      </c>
      <c r="W26" s="9">
        <f t="shared" si="12"/>
        <v>99.999999999999972</v>
      </c>
      <c r="X26" s="8">
        <f t="shared" si="5"/>
        <v>1018</v>
      </c>
      <c r="Y26" s="14">
        <f>VLOOKUP($Z$13,T8:U38,2)</f>
        <v>56.3</v>
      </c>
      <c r="Z26" s="8">
        <f>VLOOKUP(Y26,T8:X38,5)</f>
        <v>408</v>
      </c>
      <c r="AA26" s="12"/>
    </row>
    <row r="27" spans="2:27" x14ac:dyDescent="0.25">
      <c r="B27" s="17">
        <v>1218</v>
      </c>
      <c r="C27" s="18">
        <v>0</v>
      </c>
      <c r="E27" s="9">
        <v>100</v>
      </c>
      <c r="F27" s="20">
        <f t="shared" si="14"/>
        <v>0</v>
      </c>
      <c r="G27" s="9">
        <f t="shared" si="6"/>
        <v>0</v>
      </c>
      <c r="H27" s="9">
        <f t="shared" si="13"/>
        <v>99.999999999999972</v>
      </c>
      <c r="I27" s="20">
        <f t="shared" si="7"/>
        <v>9.4610750426430091E-10</v>
      </c>
      <c r="J27" s="20">
        <f t="shared" si="8"/>
        <v>0</v>
      </c>
      <c r="K27" s="20">
        <f t="shared" si="9"/>
        <v>0</v>
      </c>
      <c r="L27" s="20">
        <f t="shared" si="10"/>
        <v>0</v>
      </c>
      <c r="M27" s="4"/>
      <c r="R27" s="8">
        <f t="shared" si="1"/>
        <v>1218</v>
      </c>
      <c r="S27" s="8">
        <f t="shared" si="2"/>
        <v>1458</v>
      </c>
      <c r="T27" s="9">
        <f t="shared" si="3"/>
        <v>100</v>
      </c>
      <c r="U27" s="9">
        <f t="shared" si="11"/>
        <v>100</v>
      </c>
      <c r="V27" s="9">
        <f t="shared" si="4"/>
        <v>99.999999999999972</v>
      </c>
      <c r="W27" s="9">
        <f t="shared" si="12"/>
        <v>99.999999999999972</v>
      </c>
      <c r="X27" s="8">
        <f t="shared" si="5"/>
        <v>1218</v>
      </c>
    </row>
    <row r="28" spans="2:27" x14ac:dyDescent="0.25">
      <c r="B28" s="17">
        <v>1458</v>
      </c>
      <c r="C28" s="18">
        <v>0</v>
      </c>
      <c r="E28" s="9">
        <v>100</v>
      </c>
      <c r="F28" s="20">
        <f t="shared" si="14"/>
        <v>0</v>
      </c>
      <c r="G28" s="9">
        <f t="shared" si="6"/>
        <v>0</v>
      </c>
      <c r="H28" s="9">
        <f t="shared" si="13"/>
        <v>99.999999999999972</v>
      </c>
      <c r="I28" s="20">
        <f t="shared" si="7"/>
        <v>1.622823149456753E-9</v>
      </c>
      <c r="J28" s="20">
        <f t="shared" si="8"/>
        <v>0</v>
      </c>
      <c r="K28" s="20">
        <f t="shared" si="9"/>
        <v>0</v>
      </c>
      <c r="L28" s="20">
        <f t="shared" si="10"/>
        <v>0</v>
      </c>
      <c r="M28" s="4"/>
      <c r="N28" s="2"/>
      <c r="R28" s="8">
        <f t="shared" si="1"/>
        <v>1458</v>
      </c>
      <c r="S28" s="8">
        <f t="shared" si="2"/>
        <v>1738</v>
      </c>
      <c r="T28" s="9">
        <f t="shared" si="3"/>
        <v>100</v>
      </c>
      <c r="U28" s="9">
        <f t="shared" si="11"/>
        <v>100</v>
      </c>
      <c r="V28" s="9">
        <f t="shared" si="4"/>
        <v>99.999999999999972</v>
      </c>
      <c r="W28" s="9">
        <f t="shared" si="12"/>
        <v>99.999999999999972</v>
      </c>
      <c r="X28" s="8">
        <f t="shared" si="5"/>
        <v>1458</v>
      </c>
    </row>
    <row r="29" spans="2:27" x14ac:dyDescent="0.25">
      <c r="B29" s="17">
        <v>1738</v>
      </c>
      <c r="C29" s="18">
        <v>0</v>
      </c>
      <c r="E29" s="9">
        <v>100</v>
      </c>
      <c r="F29" s="20">
        <f t="shared" si="14"/>
        <v>0</v>
      </c>
      <c r="G29" s="9">
        <f t="shared" si="6"/>
        <v>0</v>
      </c>
      <c r="H29" s="9">
        <f t="shared" si="13"/>
        <v>99.999999999999972</v>
      </c>
      <c r="I29" s="20">
        <f t="shared" si="7"/>
        <v>2.7488303588580882E-9</v>
      </c>
      <c r="J29" s="20">
        <f t="shared" si="8"/>
        <v>0</v>
      </c>
      <c r="K29" s="20">
        <f t="shared" si="9"/>
        <v>0</v>
      </c>
      <c r="L29" s="20">
        <f t="shared" si="10"/>
        <v>0</v>
      </c>
      <c r="M29" s="4"/>
      <c r="R29" s="8">
        <f t="shared" si="1"/>
        <v>1738</v>
      </c>
      <c r="S29" s="8">
        <f t="shared" si="2"/>
        <v>2058</v>
      </c>
      <c r="T29" s="9">
        <f t="shared" si="3"/>
        <v>100</v>
      </c>
      <c r="U29" s="9">
        <f t="shared" si="11"/>
        <v>100</v>
      </c>
      <c r="V29" s="9">
        <f t="shared" si="4"/>
        <v>99.999999999999972</v>
      </c>
      <c r="W29" s="9">
        <f t="shared" si="12"/>
        <v>99.999999999999972</v>
      </c>
      <c r="X29" s="8">
        <f t="shared" si="5"/>
        <v>1738</v>
      </c>
    </row>
    <row r="30" spans="2:27" x14ac:dyDescent="0.25">
      <c r="B30" s="17">
        <v>2058</v>
      </c>
      <c r="C30" s="18">
        <v>0</v>
      </c>
      <c r="E30" s="9">
        <v>100</v>
      </c>
      <c r="F30" s="20">
        <f t="shared" si="14"/>
        <v>0</v>
      </c>
      <c r="G30" s="9">
        <f t="shared" si="6"/>
        <v>0</v>
      </c>
      <c r="H30" s="9">
        <f t="shared" si="13"/>
        <v>99.999999999999972</v>
      </c>
      <c r="I30" s="20">
        <f t="shared" si="7"/>
        <v>4.5638854306937876E-9</v>
      </c>
      <c r="J30" s="20">
        <f t="shared" si="8"/>
        <v>0</v>
      </c>
      <c r="K30" s="20">
        <f t="shared" si="9"/>
        <v>0</v>
      </c>
      <c r="L30" s="20">
        <f t="shared" si="10"/>
        <v>0</v>
      </c>
      <c r="M30" s="4"/>
      <c r="R30" s="8">
        <f t="shared" si="1"/>
        <v>2058</v>
      </c>
      <c r="S30" s="8">
        <f t="shared" si="2"/>
        <v>2458</v>
      </c>
      <c r="T30" s="9">
        <f t="shared" si="3"/>
        <v>100</v>
      </c>
      <c r="U30" s="9">
        <f t="shared" si="11"/>
        <v>100</v>
      </c>
      <c r="V30" s="9">
        <f t="shared" si="4"/>
        <v>99.999999999999972</v>
      </c>
      <c r="W30" s="9">
        <f t="shared" si="12"/>
        <v>99.999999999999972</v>
      </c>
      <c r="X30" s="8">
        <f t="shared" si="5"/>
        <v>2058</v>
      </c>
    </row>
    <row r="31" spans="2:27" x14ac:dyDescent="0.25">
      <c r="B31" s="17">
        <v>2458</v>
      </c>
      <c r="C31" s="18">
        <v>0</v>
      </c>
      <c r="E31" s="9">
        <v>100</v>
      </c>
      <c r="F31" s="20">
        <f t="shared" si="14"/>
        <v>0</v>
      </c>
      <c r="G31" s="9">
        <f t="shared" si="6"/>
        <v>0</v>
      </c>
      <c r="H31" s="9">
        <f t="shared" si="13"/>
        <v>99.999999999999972</v>
      </c>
      <c r="I31" s="20">
        <f t="shared" si="7"/>
        <v>7.7757852523548341E-9</v>
      </c>
      <c r="J31" s="20">
        <f t="shared" si="8"/>
        <v>0</v>
      </c>
      <c r="K31" s="20">
        <f t="shared" si="9"/>
        <v>0</v>
      </c>
      <c r="L31" s="20">
        <f t="shared" si="10"/>
        <v>0</v>
      </c>
      <c r="M31" s="4"/>
      <c r="R31" s="8">
        <f t="shared" si="1"/>
        <v>2458</v>
      </c>
      <c r="S31" s="8">
        <f t="shared" si="2"/>
        <v>2938</v>
      </c>
      <c r="T31" s="9">
        <f t="shared" si="3"/>
        <v>100</v>
      </c>
      <c r="U31" s="9">
        <f t="shared" si="11"/>
        <v>100</v>
      </c>
      <c r="V31" s="9">
        <f t="shared" si="4"/>
        <v>99.999999999999972</v>
      </c>
      <c r="W31" s="9">
        <f t="shared" si="12"/>
        <v>99.999999999999972</v>
      </c>
      <c r="X31" s="8">
        <f t="shared" si="5"/>
        <v>2458</v>
      </c>
    </row>
    <row r="32" spans="2:27" x14ac:dyDescent="0.25">
      <c r="B32" s="17">
        <v>2938</v>
      </c>
      <c r="C32" s="18">
        <v>0</v>
      </c>
      <c r="E32" s="9">
        <v>100</v>
      </c>
      <c r="F32" s="20">
        <f t="shared" si="14"/>
        <v>0</v>
      </c>
      <c r="G32" s="9">
        <f t="shared" si="6"/>
        <v>0</v>
      </c>
      <c r="H32" s="9">
        <f t="shared" si="13"/>
        <v>99.999999999999972</v>
      </c>
      <c r="I32" s="20">
        <f t="shared" si="7"/>
        <v>1.3278652225794123E-8</v>
      </c>
      <c r="J32" s="20">
        <f t="shared" si="8"/>
        <v>0</v>
      </c>
      <c r="K32" s="20">
        <f t="shared" si="9"/>
        <v>0</v>
      </c>
      <c r="L32" s="20">
        <f t="shared" si="10"/>
        <v>0</v>
      </c>
      <c r="M32" s="4"/>
      <c r="R32" s="8">
        <f t="shared" si="1"/>
        <v>2938</v>
      </c>
      <c r="S32" s="8">
        <f t="shared" si="2"/>
        <v>3498</v>
      </c>
      <c r="T32" s="9">
        <f t="shared" si="3"/>
        <v>100</v>
      </c>
      <c r="U32" s="9">
        <f t="shared" si="11"/>
        <v>100</v>
      </c>
      <c r="V32" s="9">
        <f t="shared" si="4"/>
        <v>99.999999999999972</v>
      </c>
      <c r="W32" s="9">
        <f t="shared" si="12"/>
        <v>99.999999999999972</v>
      </c>
      <c r="X32" s="8">
        <f t="shared" si="5"/>
        <v>2938</v>
      </c>
    </row>
    <row r="33" spans="2:24" x14ac:dyDescent="0.25">
      <c r="B33" s="17">
        <v>3498</v>
      </c>
      <c r="C33" s="18">
        <v>0</v>
      </c>
      <c r="E33" s="9">
        <v>100</v>
      </c>
      <c r="F33" s="20">
        <f t="shared" si="14"/>
        <v>0</v>
      </c>
      <c r="G33" s="9">
        <f t="shared" si="6"/>
        <v>0</v>
      </c>
      <c r="H33" s="9">
        <f t="shared" si="13"/>
        <v>99.999999999999972</v>
      </c>
      <c r="I33" s="20">
        <f t="shared" si="7"/>
        <v>2.2410834980730369E-8</v>
      </c>
      <c r="J33" s="20">
        <f t="shared" si="8"/>
        <v>0</v>
      </c>
      <c r="K33" s="20">
        <f t="shared" si="9"/>
        <v>0</v>
      </c>
      <c r="L33" s="20">
        <f t="shared" si="10"/>
        <v>0</v>
      </c>
      <c r="M33" s="4"/>
      <c r="R33" s="8">
        <f t="shared" si="1"/>
        <v>3498</v>
      </c>
      <c r="S33" s="8"/>
      <c r="T33" s="9">
        <f t="shared" si="3"/>
        <v>100</v>
      </c>
      <c r="U33" s="9"/>
      <c r="V33" s="9">
        <f t="shared" si="4"/>
        <v>99.999999999999972</v>
      </c>
      <c r="W33" s="8"/>
      <c r="X33" s="8">
        <f t="shared" si="5"/>
        <v>3498</v>
      </c>
    </row>
    <row r="34" spans="2:24" x14ac:dyDescent="0.25">
      <c r="E34" s="8"/>
      <c r="F34" s="8"/>
      <c r="G34" s="8"/>
      <c r="H34" s="12"/>
      <c r="I34" s="12"/>
      <c r="J34" s="12"/>
      <c r="K34" s="12"/>
      <c r="L34" s="12"/>
    </row>
    <row r="35" spans="2:24" x14ac:dyDescent="0.25">
      <c r="C35" s="12">
        <f>SUM(C3:C33)</f>
        <v>100</v>
      </c>
      <c r="D35" s="12"/>
      <c r="E35" s="8"/>
      <c r="F35" s="8">
        <f>SUM(F3:F33)</f>
        <v>13332123374417.758</v>
      </c>
      <c r="G35" s="8">
        <f>SUM(G3:G33)</f>
        <v>99.999999999999972</v>
      </c>
      <c r="H35" s="12"/>
      <c r="I35" s="12"/>
      <c r="J35" s="20">
        <f>SUM(J3:J33)</f>
        <v>13332123374417.758</v>
      </c>
      <c r="K35" s="20">
        <f>SUM(K3:K33)</f>
        <v>1.9098593171027444E+20</v>
      </c>
      <c r="L35" s="20">
        <f>SUM(L3:L33)</f>
        <v>5.4539602492493018E+17</v>
      </c>
      <c r="M35" s="1"/>
    </row>
    <row r="36" spans="2:24" x14ac:dyDescent="0.25">
      <c r="E36" s="12"/>
      <c r="F36" s="12"/>
      <c r="G36" s="12"/>
      <c r="H36" s="12"/>
      <c r="I36" s="12"/>
      <c r="J36" s="12"/>
      <c r="K36" s="14">
        <f>(K35/$J$35)^(1/3)</f>
        <v>242.86635298048904</v>
      </c>
      <c r="L36" s="14">
        <f>K35/L35</f>
        <v>350.17844462024135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NARESH [AG/1005]</dc:creator>
  <cp:lastModifiedBy>Antonios Vytiniotis</cp:lastModifiedBy>
  <dcterms:created xsi:type="dcterms:W3CDTF">2021-03-31T15:55:39Z</dcterms:created>
  <dcterms:modified xsi:type="dcterms:W3CDTF">2021-04-07T21:42:42Z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iteId">
    <vt:lpwstr>fcb2b37b-5da0-466b-9b83-0014b67a7c78</vt:lpwstr>
  </property>
  <property fmtid="{D5CDD505-2E9C-101B-9397-08002B2CF9AE}" pid="4" name="MSIP_Label_7f850223-87a8-40c3-9eb2-432606efca2a_Owner">
    <vt:lpwstr>naresh.pai@bayer.com</vt:lpwstr>
  </property>
  <property fmtid="{D5CDD505-2E9C-101B-9397-08002B2CF9AE}" pid="5" name="MSIP_Label_7f850223-87a8-40c3-9eb2-432606efca2a_SetDate">
    <vt:lpwstr>2021-03-31T16:00:55.3758412Z</vt:lpwstr>
  </property>
  <property fmtid="{D5CDD505-2E9C-101B-9397-08002B2CF9AE}" pid="6" name="MSIP_Label_7f850223-87a8-40c3-9eb2-432606efca2a_Name">
    <vt:lpwstr>NO CLASSIFICATION</vt:lpwstr>
  </property>
  <property fmtid="{D5CDD505-2E9C-101B-9397-08002B2CF9AE}" pid="7" name="MSIP_Label_7f850223-87a8-40c3-9eb2-432606efca2a_Application">
    <vt:lpwstr>Microsoft Azure Information Protection</vt:lpwstr>
  </property>
  <property fmtid="{D5CDD505-2E9C-101B-9397-08002B2CF9AE}" pid="8" name="MSIP_Label_7f850223-87a8-40c3-9eb2-432606efca2a_Extended_MSFT_Method">
    <vt:lpwstr>Automatic</vt:lpwstr>
  </property>
  <property fmtid="{D5CDD505-2E9C-101B-9397-08002B2CF9AE}" pid="9" name="Sensitivity">
    <vt:lpwstr>NO CLASSIFICATION</vt:lpwstr>
  </property>
</Properties>
</file>